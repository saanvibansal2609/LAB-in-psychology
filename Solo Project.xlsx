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" sheetId="1" r:id="rId4"/>
    <sheet state="visible" name="0002" sheetId="2" r:id="rId5"/>
    <sheet state="visible" name="0003" sheetId="3" r:id="rId6"/>
    <sheet state="visible" name="0004" sheetId="4" r:id="rId7"/>
    <sheet state="visible" name="0005" sheetId="5" r:id="rId8"/>
    <sheet state="visible" name="Summary" sheetId="6" r:id="rId9"/>
  </sheets>
  <definedNames/>
  <calcPr/>
</workbook>
</file>

<file path=xl/sharedStrings.xml><?xml version="1.0" encoding="utf-8"?>
<sst xmlns="http://schemas.openxmlformats.org/spreadsheetml/2006/main" count="2104" uniqueCount="129">
  <si>
    <t>word</t>
  </si>
  <si>
    <t>correct_key</t>
  </si>
  <si>
    <t>key.resp.keys</t>
  </si>
  <si>
    <t>key.resp.corr</t>
  </si>
  <si>
    <t>key.resp.rt</t>
  </si>
  <si>
    <t>rt_invalid</t>
  </si>
  <si>
    <t>valid trial</t>
  </si>
  <si>
    <t>programmer</t>
  </si>
  <si>
    <t>e</t>
  </si>
  <si>
    <t>congruent</t>
  </si>
  <si>
    <t>salesman</t>
  </si>
  <si>
    <t>doctor</t>
  </si>
  <si>
    <t>baby</t>
  </si>
  <si>
    <t>i</t>
  </si>
  <si>
    <t>household</t>
  </si>
  <si>
    <t>businessman</t>
  </si>
  <si>
    <t>kitchen</t>
  </si>
  <si>
    <t>parenting</t>
  </si>
  <si>
    <t>wife</t>
  </si>
  <si>
    <t>chef</t>
  </si>
  <si>
    <t>Congruent</t>
  </si>
  <si>
    <t>Incongruent</t>
  </si>
  <si>
    <t>compassion</t>
  </si>
  <si>
    <t>Median RT =</t>
  </si>
  <si>
    <t>banker</t>
  </si>
  <si>
    <t>lawyer</t>
  </si>
  <si>
    <t>Accuracy congruent</t>
  </si>
  <si>
    <t>Accuracy Incongruent</t>
  </si>
  <si>
    <t>family</t>
  </si>
  <si>
    <t>home</t>
  </si>
  <si>
    <t>athlete</t>
  </si>
  <si>
    <t>Difference</t>
  </si>
  <si>
    <t>love</t>
  </si>
  <si>
    <t>scientist</t>
  </si>
  <si>
    <t>surgeon</t>
  </si>
  <si>
    <t>daughter</t>
  </si>
  <si>
    <t>caregiver</t>
  </si>
  <si>
    <t>sister</t>
  </si>
  <si>
    <t>togetherness</t>
  </si>
  <si>
    <t>nurture</t>
  </si>
  <si>
    <t>aunt</t>
  </si>
  <si>
    <t>friendship</t>
  </si>
  <si>
    <t>comfort</t>
  </si>
  <si>
    <t>carpenter</t>
  </si>
  <si>
    <t>technician</t>
  </si>
  <si>
    <t>child</t>
  </si>
  <si>
    <t>mother</t>
  </si>
  <si>
    <t>accountant</t>
  </si>
  <si>
    <t>plumber</t>
  </si>
  <si>
    <t>kindness</t>
  </si>
  <si>
    <t>homemaker</t>
  </si>
  <si>
    <t>director</t>
  </si>
  <si>
    <t>professor</t>
  </si>
  <si>
    <t>manager</t>
  </si>
  <si>
    <t>grandmother</t>
  </si>
  <si>
    <t>architect</t>
  </si>
  <si>
    <t>support</t>
  </si>
  <si>
    <t>pilot</t>
  </si>
  <si>
    <t>mechanic</t>
  </si>
  <si>
    <t>entrepreneur</t>
  </si>
  <si>
    <t>engineer</t>
  </si>
  <si>
    <t>soldier</t>
  </si>
  <si>
    <t>farmer</t>
  </si>
  <si>
    <t>electrician</t>
  </si>
  <si>
    <t>nurse</t>
  </si>
  <si>
    <t>teacher</t>
  </si>
  <si>
    <t>chores</t>
  </si>
  <si>
    <t>husband</t>
  </si>
  <si>
    <t>son</t>
  </si>
  <si>
    <t>consultant</t>
  </si>
  <si>
    <t>researcher</t>
  </si>
  <si>
    <t>protector</t>
  </si>
  <si>
    <t>caretaker</t>
  </si>
  <si>
    <t>fatherhood</t>
  </si>
  <si>
    <t>father</t>
  </si>
  <si>
    <t>provider</t>
  </si>
  <si>
    <t>housemate</t>
  </si>
  <si>
    <t>supporter</t>
  </si>
  <si>
    <t>sibling</t>
  </si>
  <si>
    <t>analyst</t>
  </si>
  <si>
    <t>grandfather</t>
  </si>
  <si>
    <t>businesswoman</t>
  </si>
  <si>
    <t>designer</t>
  </si>
  <si>
    <t>bedroom</t>
  </si>
  <si>
    <t>uncle</t>
  </si>
  <si>
    <t>dinner</t>
  </si>
  <si>
    <t>bedtime</t>
  </si>
  <si>
    <t>bonding</t>
  </si>
  <si>
    <t>brother</t>
  </si>
  <si>
    <t>familytime</t>
  </si>
  <si>
    <t>inventor</t>
  </si>
  <si>
    <t>playtime</t>
  </si>
  <si>
    <t>dad</t>
  </si>
  <si>
    <t>homecare</t>
  </si>
  <si>
    <t>together</t>
  </si>
  <si>
    <t>guardian</t>
  </si>
  <si>
    <t>valid= 1</t>
  </si>
  <si>
    <t>Invalid=1</t>
  </si>
  <si>
    <t>valid=1</t>
  </si>
  <si>
    <t>invalid=0</t>
  </si>
  <si>
    <t>valid=0</t>
  </si>
  <si>
    <t>valid_trial</t>
  </si>
  <si>
    <t>Invalid = 0</t>
  </si>
  <si>
    <t>Invalid =1</t>
  </si>
  <si>
    <t>Invalid= 0</t>
  </si>
  <si>
    <t xml:space="preserve">Difference </t>
  </si>
  <si>
    <t>incongruent</t>
  </si>
  <si>
    <t>Invalid = 1</t>
  </si>
  <si>
    <t>Invalid =0</t>
  </si>
  <si>
    <t>Rt_invalid</t>
  </si>
  <si>
    <t>Valid_rt</t>
  </si>
  <si>
    <t>Participant</t>
  </si>
  <si>
    <t>Median RT Congruent</t>
  </si>
  <si>
    <t>Median RT Incongruent</t>
  </si>
  <si>
    <t>Accuracy Congruent</t>
  </si>
  <si>
    <t>RT diff</t>
  </si>
  <si>
    <t>Participant 1</t>
  </si>
  <si>
    <t>Participant 2</t>
  </si>
  <si>
    <t>Participant 3</t>
  </si>
  <si>
    <t>Participant 4</t>
  </si>
  <si>
    <t>Participant 5</t>
  </si>
  <si>
    <t>Mean</t>
  </si>
  <si>
    <t>SD</t>
  </si>
  <si>
    <t>Reaction times</t>
  </si>
  <si>
    <t>Mean congruent RT</t>
  </si>
  <si>
    <t>Mean Incongruent RT</t>
  </si>
  <si>
    <t>Accuracy rate</t>
  </si>
  <si>
    <t>Mean accuracy cong</t>
  </si>
  <si>
    <t>Mean accuracy incong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</si>
</sst>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2" fontId="3" numFmtId="0" xfId="0" applyFont="1"/>
    <xf borderId="0" fillId="3" fontId="3" numFmtId="0" xfId="0" applyAlignment="1" applyFill="1" applyFont="1">
      <alignment readingOrder="0"/>
    </xf>
    <xf borderId="0" fillId="4" fontId="3" numFmtId="0" xfId="0" applyFill="1" applyFont="1"/>
    <xf borderId="0" fillId="5" fontId="3" numFmtId="0" xfId="0" applyFill="1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right" readingOrder="0" shrinkToFit="0" vertical="bottom" wrapText="0"/>
    </xf>
    <xf borderId="0" fillId="6" fontId="3" numFmtId="0" xfId="0" applyFill="1" applyFont="1"/>
    <xf borderId="0" fillId="7" fontId="3" numFmtId="0" xfId="0" applyAlignment="1" applyFill="1" applyFont="1">
      <alignment readingOrder="0"/>
    </xf>
    <xf borderId="0" fillId="8" fontId="3" numFmtId="0" xfId="0" applyFill="1" applyFont="1"/>
    <xf borderId="0" fillId="9" fontId="3" numFmtId="0" xfId="0" applyFill="1" applyFont="1"/>
    <xf borderId="0" fillId="2" fontId="5" numFmtId="0" xfId="0" applyFont="1"/>
    <xf borderId="0" fillId="0" fontId="5" numFmtId="0" xfId="0" applyFont="1"/>
    <xf borderId="0" fillId="9" fontId="1" numFmtId="0" xfId="0" applyAlignment="1" applyFont="1">
      <alignment readingOrder="0"/>
    </xf>
    <xf borderId="0" fillId="9" fontId="3" numFmtId="0" xfId="0" applyAlignment="1" applyFont="1">
      <alignment readingOrder="0"/>
    </xf>
    <xf borderId="0" fillId="9" fontId="6" numFmtId="0" xfId="0" applyAlignment="1" applyFont="1">
      <alignment horizontal="right" readingOrder="0" vertical="bottom"/>
    </xf>
    <xf borderId="0" fillId="10" fontId="1" numFmtId="0" xfId="0" applyAlignment="1" applyFill="1" applyFont="1">
      <alignment readingOrder="0"/>
    </xf>
    <xf borderId="0" fillId="1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Summary!$C$17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Summary!$B$18:$B$19</c:f>
            </c:strRef>
          </c:cat>
          <c:val>
            <c:numRef>
              <c:f>Summary!$C$18:$C$19</c:f>
              <c:numCache/>
            </c:numRef>
          </c:val>
        </c:ser>
        <c:axId val="707147596"/>
        <c:axId val="2046853608"/>
      </c:barChart>
      <c:catAx>
        <c:axId val="707147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853608"/>
      </c:catAx>
      <c:valAx>
        <c:axId val="2046853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147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rate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Summary!$C$31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Summary!$B$32:$B$33</c:f>
            </c:strRef>
          </c:cat>
          <c:val>
            <c:numRef>
              <c:f>Summary!$C$32:$C$33</c:f>
              <c:numCache/>
            </c:numRef>
          </c:val>
        </c:ser>
        <c:axId val="436222180"/>
        <c:axId val="1592313433"/>
      </c:barChart>
      <c:catAx>
        <c:axId val="436222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313433"/>
      </c:catAx>
      <c:valAx>
        <c:axId val="1592313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222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13</xdr:row>
      <xdr:rowOff>57150</xdr:rowOff>
    </xdr:from>
    <xdr:ext cx="4572000" cy="2819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28</xdr:row>
      <xdr:rowOff>47625</xdr:rowOff>
    </xdr:from>
    <xdr:ext cx="4572000" cy="2819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8</v>
      </c>
      <c r="D2" s="3">
        <v>1.0</v>
      </c>
      <c r="E2" s="3">
        <v>1.5275077</v>
      </c>
      <c r="F2" s="4">
        <f t="shared" ref="F2:F51" si="1">IF(OR(E2 &lt; 0.2, E2 &gt; 5), 1, 0)</f>
        <v>0</v>
      </c>
      <c r="G2" s="4">
        <f t="shared" ref="G2:G51" si="2">IF(AND(D2=1, F2=0), 1, 0)
</f>
        <v>1</v>
      </c>
      <c r="H2" s="3" t="s">
        <v>9</v>
      </c>
    </row>
    <row r="3">
      <c r="A3" s="3" t="s">
        <v>10</v>
      </c>
      <c r="B3" s="3" t="s">
        <v>8</v>
      </c>
      <c r="C3" s="3" t="s">
        <v>8</v>
      </c>
      <c r="D3" s="3">
        <v>1.0</v>
      </c>
      <c r="E3" s="3">
        <v>0.7553925</v>
      </c>
      <c r="F3" s="4">
        <f t="shared" si="1"/>
        <v>0</v>
      </c>
      <c r="G3" s="4">
        <f t="shared" si="2"/>
        <v>1</v>
      </c>
      <c r="H3" s="3" t="s">
        <v>9</v>
      </c>
    </row>
    <row r="4">
      <c r="A4" s="3" t="s">
        <v>11</v>
      </c>
      <c r="B4" s="3" t="s">
        <v>8</v>
      </c>
      <c r="C4" s="3" t="s">
        <v>8</v>
      </c>
      <c r="D4" s="3">
        <v>1.0</v>
      </c>
      <c r="E4" s="3">
        <v>0.6413047</v>
      </c>
      <c r="F4" s="4">
        <f t="shared" si="1"/>
        <v>0</v>
      </c>
      <c r="G4" s="4">
        <f t="shared" si="2"/>
        <v>1</v>
      </c>
      <c r="H4" s="3" t="s">
        <v>9</v>
      </c>
    </row>
    <row r="5">
      <c r="A5" s="3" t="s">
        <v>12</v>
      </c>
      <c r="B5" s="3" t="s">
        <v>13</v>
      </c>
      <c r="C5" s="3" t="s">
        <v>13</v>
      </c>
      <c r="D5" s="3">
        <v>1.0</v>
      </c>
      <c r="E5" s="3">
        <v>1.9388397</v>
      </c>
      <c r="F5" s="4">
        <f t="shared" si="1"/>
        <v>0</v>
      </c>
      <c r="G5" s="4">
        <f t="shared" si="2"/>
        <v>1</v>
      </c>
      <c r="H5" s="3" t="s">
        <v>9</v>
      </c>
    </row>
    <row r="6">
      <c r="A6" s="3" t="s">
        <v>14</v>
      </c>
      <c r="B6" s="3" t="s">
        <v>13</v>
      </c>
      <c r="C6" s="3" t="s">
        <v>13</v>
      </c>
      <c r="D6" s="3">
        <v>1.0</v>
      </c>
      <c r="E6" s="3">
        <v>0.6335232</v>
      </c>
      <c r="F6" s="4">
        <f t="shared" si="1"/>
        <v>0</v>
      </c>
      <c r="G6" s="4">
        <f t="shared" si="2"/>
        <v>1</v>
      </c>
      <c r="H6" s="3" t="s">
        <v>9</v>
      </c>
    </row>
    <row r="7">
      <c r="A7" s="3" t="s">
        <v>15</v>
      </c>
      <c r="B7" s="3" t="s">
        <v>8</v>
      </c>
      <c r="C7" s="3" t="s">
        <v>8</v>
      </c>
      <c r="D7" s="3">
        <v>1.0</v>
      </c>
      <c r="E7" s="3">
        <v>0.6266497</v>
      </c>
      <c r="F7" s="4">
        <f t="shared" si="1"/>
        <v>0</v>
      </c>
      <c r="G7" s="4">
        <f t="shared" si="2"/>
        <v>1</v>
      </c>
      <c r="H7" s="3" t="s">
        <v>9</v>
      </c>
    </row>
    <row r="8">
      <c r="A8" s="3" t="s">
        <v>16</v>
      </c>
      <c r="B8" s="3" t="s">
        <v>13</v>
      </c>
      <c r="C8" s="3" t="s">
        <v>13</v>
      </c>
      <c r="D8" s="3">
        <v>1.0</v>
      </c>
      <c r="E8" s="3">
        <v>0.6467144</v>
      </c>
      <c r="F8" s="4">
        <f t="shared" si="1"/>
        <v>0</v>
      </c>
      <c r="G8" s="4">
        <f t="shared" si="2"/>
        <v>1</v>
      </c>
      <c r="H8" s="3" t="s">
        <v>9</v>
      </c>
    </row>
    <row r="9">
      <c r="A9" s="3" t="s">
        <v>17</v>
      </c>
      <c r="B9" s="3" t="s">
        <v>13</v>
      </c>
      <c r="C9" s="3" t="s">
        <v>13</v>
      </c>
      <c r="D9" s="3">
        <v>1.0</v>
      </c>
      <c r="E9" s="3">
        <v>0.7570897</v>
      </c>
      <c r="F9" s="4">
        <f t="shared" si="1"/>
        <v>0</v>
      </c>
      <c r="G9" s="4">
        <f t="shared" si="2"/>
        <v>1</v>
      </c>
      <c r="H9" s="3" t="s">
        <v>9</v>
      </c>
    </row>
    <row r="10">
      <c r="A10" s="3" t="s">
        <v>18</v>
      </c>
      <c r="B10" s="3" t="s">
        <v>13</v>
      </c>
      <c r="C10" s="3" t="s">
        <v>13</v>
      </c>
      <c r="D10" s="3">
        <v>1.0</v>
      </c>
      <c r="E10" s="3">
        <v>0.5764019</v>
      </c>
      <c r="F10" s="4">
        <f t="shared" si="1"/>
        <v>0</v>
      </c>
      <c r="G10" s="4">
        <f t="shared" si="2"/>
        <v>1</v>
      </c>
      <c r="H10" s="3" t="s">
        <v>9</v>
      </c>
    </row>
    <row r="11">
      <c r="A11" s="3" t="s">
        <v>19</v>
      </c>
      <c r="B11" s="3" t="s">
        <v>8</v>
      </c>
      <c r="C11" s="3" t="s">
        <v>8</v>
      </c>
      <c r="D11" s="3">
        <v>1.0</v>
      </c>
      <c r="E11" s="3">
        <v>1.0121523</v>
      </c>
      <c r="F11" s="4">
        <f t="shared" si="1"/>
        <v>0</v>
      </c>
      <c r="G11" s="4">
        <f t="shared" si="2"/>
        <v>1</v>
      </c>
      <c r="H11" s="3" t="s">
        <v>9</v>
      </c>
      <c r="J11" s="5" t="s">
        <v>20</v>
      </c>
      <c r="K11" s="6"/>
      <c r="L11" s="6"/>
      <c r="M11" s="6"/>
      <c r="N11" s="5" t="s">
        <v>21</v>
      </c>
      <c r="O11" s="6"/>
      <c r="P11" s="6"/>
    </row>
    <row r="12">
      <c r="A12" s="3" t="s">
        <v>22</v>
      </c>
      <c r="B12" s="3" t="s">
        <v>13</v>
      </c>
      <c r="C12" s="3" t="s">
        <v>13</v>
      </c>
      <c r="D12" s="3">
        <v>1.0</v>
      </c>
      <c r="E12" s="3">
        <v>1.5459154</v>
      </c>
      <c r="F12" s="4">
        <f t="shared" si="1"/>
        <v>0</v>
      </c>
      <c r="G12" s="4">
        <f t="shared" si="2"/>
        <v>1</v>
      </c>
      <c r="H12" s="3" t="s">
        <v>9</v>
      </c>
      <c r="J12" s="5" t="s">
        <v>23</v>
      </c>
      <c r="K12" s="6">
        <f>IFERROR(__xludf.DUMMYFUNCTION("MEDIAN(FILTER(E:E, H:H=""congruent"", G:G=1))
"),0.8974351)</f>
        <v>0.8974351</v>
      </c>
      <c r="L12" s="6"/>
      <c r="M12" s="6"/>
      <c r="N12" s="5" t="s">
        <v>23</v>
      </c>
      <c r="O12" s="6">
        <f>IFERROR(__xludf.DUMMYFUNCTION("MEDIAN(FILTER(E:E, H:H=""incongruent"", G:G=1))
"),0.9121615)</f>
        <v>0.9121615</v>
      </c>
      <c r="P12" s="6"/>
    </row>
    <row r="13">
      <c r="A13" s="3" t="s">
        <v>24</v>
      </c>
      <c r="B13" s="3" t="s">
        <v>8</v>
      </c>
      <c r="C13" s="3" t="s">
        <v>8</v>
      </c>
      <c r="D13" s="3">
        <v>1.0</v>
      </c>
      <c r="E13" s="3">
        <v>1.2215459</v>
      </c>
      <c r="F13" s="4">
        <f t="shared" si="1"/>
        <v>0</v>
      </c>
      <c r="G13" s="4">
        <f t="shared" si="2"/>
        <v>1</v>
      </c>
      <c r="H13" s="3" t="s">
        <v>9</v>
      </c>
      <c r="J13" s="6"/>
      <c r="K13" s="6"/>
      <c r="L13" s="6"/>
      <c r="M13" s="6"/>
      <c r="N13" s="6"/>
      <c r="O13" s="6"/>
      <c r="P13" s="6"/>
    </row>
    <row r="14">
      <c r="A14" s="3" t="s">
        <v>25</v>
      </c>
      <c r="B14" s="3" t="s">
        <v>8</v>
      </c>
      <c r="C14" s="3" t="s">
        <v>8</v>
      </c>
      <c r="D14" s="3">
        <v>1.0</v>
      </c>
      <c r="E14" s="3">
        <v>1.6099766</v>
      </c>
      <c r="F14" s="4">
        <f t="shared" si="1"/>
        <v>0</v>
      </c>
      <c r="G14" s="4">
        <f t="shared" si="2"/>
        <v>1</v>
      </c>
      <c r="H14" s="3" t="s">
        <v>9</v>
      </c>
      <c r="J14" s="5" t="s">
        <v>26</v>
      </c>
      <c r="K14" s="6"/>
      <c r="L14" s="6">
        <f>IFERROR(__xludf.DUMMYFUNCTION("AVERAGE(FILTER(D:D, H:H=""congruent""))*100"),96.0)</f>
        <v>96</v>
      </c>
      <c r="M14" s="6"/>
      <c r="N14" s="5" t="s">
        <v>27</v>
      </c>
      <c r="O14" s="6"/>
      <c r="P14" s="6">
        <f>IFERROR(__xludf.DUMMYFUNCTION("AVERAGE(FILTER(D:D, H:H=""incongruent""))*100
"),72.0)</f>
        <v>72</v>
      </c>
    </row>
    <row r="15">
      <c r="A15" s="3" t="s">
        <v>28</v>
      </c>
      <c r="B15" s="3" t="s">
        <v>13</v>
      </c>
      <c r="C15" s="3" t="s">
        <v>13</v>
      </c>
      <c r="D15" s="3">
        <v>1.0</v>
      </c>
      <c r="E15" s="3">
        <v>0.8812373</v>
      </c>
      <c r="F15" s="4">
        <f t="shared" si="1"/>
        <v>0</v>
      </c>
      <c r="G15" s="4">
        <f t="shared" si="2"/>
        <v>1</v>
      </c>
      <c r="H15" s="3" t="s">
        <v>9</v>
      </c>
    </row>
    <row r="16">
      <c r="A16" s="3" t="s">
        <v>29</v>
      </c>
      <c r="B16" s="3" t="s">
        <v>13</v>
      </c>
      <c r="C16" s="3" t="s">
        <v>13</v>
      </c>
      <c r="D16" s="3">
        <v>1.0</v>
      </c>
      <c r="E16" s="3">
        <v>0.8978033</v>
      </c>
      <c r="F16" s="4">
        <f t="shared" si="1"/>
        <v>0</v>
      </c>
      <c r="G16" s="4">
        <f t="shared" si="2"/>
        <v>1</v>
      </c>
      <c r="H16" s="3" t="s">
        <v>9</v>
      </c>
    </row>
    <row r="17">
      <c r="A17" s="3" t="s">
        <v>30</v>
      </c>
      <c r="B17" s="3" t="s">
        <v>8</v>
      </c>
      <c r="C17" s="3" t="s">
        <v>8</v>
      </c>
      <c r="D17" s="3">
        <v>1.0</v>
      </c>
      <c r="E17" s="3">
        <v>1.0330191</v>
      </c>
      <c r="F17" s="4">
        <f t="shared" si="1"/>
        <v>0</v>
      </c>
      <c r="G17" s="4">
        <f t="shared" si="2"/>
        <v>1</v>
      </c>
      <c r="H17" s="3" t="s">
        <v>9</v>
      </c>
      <c r="L17" s="3" t="s">
        <v>31</v>
      </c>
      <c r="M17" s="4">
        <f>O12-K12</f>
        <v>0.0147264</v>
      </c>
    </row>
    <row r="18">
      <c r="A18" s="3" t="s">
        <v>32</v>
      </c>
      <c r="B18" s="3" t="s">
        <v>13</v>
      </c>
      <c r="C18" s="3" t="s">
        <v>13</v>
      </c>
      <c r="D18" s="3">
        <v>1.0</v>
      </c>
      <c r="E18" s="3">
        <v>0.6264742</v>
      </c>
      <c r="F18" s="4">
        <f t="shared" si="1"/>
        <v>0</v>
      </c>
      <c r="G18" s="4">
        <f t="shared" si="2"/>
        <v>1</v>
      </c>
      <c r="H18" s="3" t="s">
        <v>9</v>
      </c>
    </row>
    <row r="19">
      <c r="A19" s="3" t="s">
        <v>33</v>
      </c>
      <c r="B19" s="3" t="s">
        <v>8</v>
      </c>
      <c r="C19" s="3" t="s">
        <v>8</v>
      </c>
      <c r="D19" s="3">
        <v>1.0</v>
      </c>
      <c r="E19" s="3">
        <v>0.6327927</v>
      </c>
      <c r="F19" s="4">
        <f t="shared" si="1"/>
        <v>0</v>
      </c>
      <c r="G19" s="4">
        <f t="shared" si="2"/>
        <v>1</v>
      </c>
      <c r="H19" s="3" t="s">
        <v>9</v>
      </c>
    </row>
    <row r="20">
      <c r="A20" s="3" t="s">
        <v>34</v>
      </c>
      <c r="B20" s="3" t="s">
        <v>8</v>
      </c>
      <c r="C20" s="3" t="s">
        <v>8</v>
      </c>
      <c r="D20" s="3">
        <v>1.0</v>
      </c>
      <c r="E20" s="3">
        <v>2.9523384</v>
      </c>
      <c r="F20" s="4">
        <f t="shared" si="1"/>
        <v>0</v>
      </c>
      <c r="G20" s="4">
        <f t="shared" si="2"/>
        <v>1</v>
      </c>
      <c r="H20" s="3" t="s">
        <v>9</v>
      </c>
    </row>
    <row r="21">
      <c r="A21" s="3" t="s">
        <v>35</v>
      </c>
      <c r="B21" s="3" t="s">
        <v>13</v>
      </c>
      <c r="C21" s="3" t="s">
        <v>8</v>
      </c>
      <c r="D21" s="7">
        <v>0.0</v>
      </c>
      <c r="E21" s="3">
        <v>3.0117361</v>
      </c>
      <c r="F21" s="4">
        <f t="shared" si="1"/>
        <v>0</v>
      </c>
      <c r="G21" s="8">
        <f t="shared" si="2"/>
        <v>0</v>
      </c>
      <c r="H21" s="3" t="s">
        <v>9</v>
      </c>
    </row>
    <row r="22">
      <c r="A22" s="3" t="s">
        <v>36</v>
      </c>
      <c r="B22" s="3" t="s">
        <v>13</v>
      </c>
      <c r="C22" s="3" t="s">
        <v>13</v>
      </c>
      <c r="D22" s="3">
        <v>1.0</v>
      </c>
      <c r="E22" s="3">
        <v>5.082296</v>
      </c>
      <c r="F22" s="9">
        <f t="shared" si="1"/>
        <v>1</v>
      </c>
      <c r="G22" s="8">
        <f t="shared" si="2"/>
        <v>0</v>
      </c>
      <c r="H22" s="3" t="s">
        <v>9</v>
      </c>
    </row>
    <row r="23">
      <c r="A23" s="3" t="s">
        <v>37</v>
      </c>
      <c r="B23" s="3" t="s">
        <v>13</v>
      </c>
      <c r="C23" s="3" t="s">
        <v>13</v>
      </c>
      <c r="D23" s="3">
        <v>1.0</v>
      </c>
      <c r="E23" s="3">
        <v>0.784764</v>
      </c>
      <c r="F23" s="4">
        <f t="shared" si="1"/>
        <v>0</v>
      </c>
      <c r="G23" s="4">
        <f t="shared" si="2"/>
        <v>1</v>
      </c>
      <c r="H23" s="3" t="s">
        <v>9</v>
      </c>
    </row>
    <row r="24">
      <c r="A24" s="3" t="s">
        <v>38</v>
      </c>
      <c r="B24" s="3" t="s">
        <v>13</v>
      </c>
      <c r="C24" s="3" t="s">
        <v>13</v>
      </c>
      <c r="D24" s="3">
        <v>1.0</v>
      </c>
      <c r="E24" s="3">
        <v>1.169477</v>
      </c>
      <c r="F24" s="4">
        <f t="shared" si="1"/>
        <v>0</v>
      </c>
      <c r="G24" s="4">
        <f t="shared" si="2"/>
        <v>1</v>
      </c>
      <c r="H24" s="3" t="s">
        <v>9</v>
      </c>
    </row>
    <row r="25">
      <c r="A25" s="3" t="s">
        <v>39</v>
      </c>
      <c r="B25" s="3" t="s">
        <v>13</v>
      </c>
      <c r="C25" s="3" t="s">
        <v>13</v>
      </c>
      <c r="D25" s="3">
        <v>1.0</v>
      </c>
      <c r="E25" s="3">
        <v>1.7140923</v>
      </c>
      <c r="F25" s="4">
        <f t="shared" si="1"/>
        <v>0</v>
      </c>
      <c r="G25" s="4">
        <f t="shared" si="2"/>
        <v>1</v>
      </c>
      <c r="H25" s="3" t="s">
        <v>9</v>
      </c>
    </row>
    <row r="26">
      <c r="A26" s="3" t="s">
        <v>40</v>
      </c>
      <c r="B26" s="3" t="s">
        <v>13</v>
      </c>
      <c r="C26" s="3" t="s">
        <v>13</v>
      </c>
      <c r="D26" s="3">
        <v>1.0</v>
      </c>
      <c r="E26" s="3">
        <v>0.6161622</v>
      </c>
      <c r="F26" s="4">
        <f t="shared" si="1"/>
        <v>0</v>
      </c>
      <c r="G26" s="4">
        <f t="shared" si="2"/>
        <v>1</v>
      </c>
      <c r="H26" s="3" t="s">
        <v>9</v>
      </c>
    </row>
    <row r="27">
      <c r="A27" s="3" t="s">
        <v>41</v>
      </c>
      <c r="B27" s="3" t="s">
        <v>13</v>
      </c>
      <c r="C27" s="3" t="s">
        <v>13</v>
      </c>
      <c r="D27" s="3">
        <v>1.0</v>
      </c>
      <c r="E27" s="3">
        <v>0.6228546</v>
      </c>
      <c r="F27" s="4">
        <f t="shared" si="1"/>
        <v>0</v>
      </c>
      <c r="G27" s="4">
        <f t="shared" si="2"/>
        <v>1</v>
      </c>
      <c r="H27" s="3" t="s">
        <v>9</v>
      </c>
    </row>
    <row r="28">
      <c r="A28" s="3" t="s">
        <v>42</v>
      </c>
      <c r="B28" s="3" t="s">
        <v>13</v>
      </c>
      <c r="C28" s="3" t="s">
        <v>13</v>
      </c>
      <c r="D28" s="3">
        <v>1.0</v>
      </c>
      <c r="E28" s="3">
        <v>0.6634543</v>
      </c>
      <c r="F28" s="4">
        <f t="shared" si="1"/>
        <v>0</v>
      </c>
      <c r="G28" s="4">
        <f t="shared" si="2"/>
        <v>1</v>
      </c>
      <c r="H28" s="3" t="s">
        <v>9</v>
      </c>
    </row>
    <row r="29">
      <c r="A29" s="3" t="s">
        <v>43</v>
      </c>
      <c r="B29" s="3" t="s">
        <v>8</v>
      </c>
      <c r="C29" s="3" t="s">
        <v>8</v>
      </c>
      <c r="D29" s="3">
        <v>1.0</v>
      </c>
      <c r="E29" s="3">
        <v>0.7206586</v>
      </c>
      <c r="F29" s="4">
        <f t="shared" si="1"/>
        <v>0</v>
      </c>
      <c r="G29" s="4">
        <f t="shared" si="2"/>
        <v>1</v>
      </c>
      <c r="H29" s="3" t="s">
        <v>9</v>
      </c>
    </row>
    <row r="30">
      <c r="A30" s="3" t="s">
        <v>44</v>
      </c>
      <c r="B30" s="3" t="s">
        <v>8</v>
      </c>
      <c r="C30" s="3" t="s">
        <v>8</v>
      </c>
      <c r="D30" s="3">
        <v>1.0</v>
      </c>
      <c r="E30" s="3">
        <v>2.2043066</v>
      </c>
      <c r="F30" s="4">
        <f t="shared" si="1"/>
        <v>0</v>
      </c>
      <c r="G30" s="4">
        <f t="shared" si="2"/>
        <v>1</v>
      </c>
      <c r="H30" s="3" t="s">
        <v>9</v>
      </c>
    </row>
    <row r="31">
      <c r="A31" s="3" t="s">
        <v>45</v>
      </c>
      <c r="B31" s="3" t="s">
        <v>13</v>
      </c>
      <c r="C31" s="3" t="s">
        <v>13</v>
      </c>
      <c r="D31" s="3">
        <v>1.0</v>
      </c>
      <c r="E31" s="3">
        <v>2.2934617</v>
      </c>
      <c r="F31" s="4">
        <f t="shared" si="1"/>
        <v>0</v>
      </c>
      <c r="G31" s="4">
        <f t="shared" si="2"/>
        <v>1</v>
      </c>
      <c r="H31" s="3" t="s">
        <v>9</v>
      </c>
    </row>
    <row r="32">
      <c r="A32" s="3" t="s">
        <v>46</v>
      </c>
      <c r="B32" s="3" t="s">
        <v>13</v>
      </c>
      <c r="C32" s="3" t="s">
        <v>13</v>
      </c>
      <c r="D32" s="3">
        <v>1.0</v>
      </c>
      <c r="E32" s="3">
        <v>0.6609636</v>
      </c>
      <c r="F32" s="4">
        <f t="shared" si="1"/>
        <v>0</v>
      </c>
      <c r="G32" s="4">
        <f t="shared" si="2"/>
        <v>1</v>
      </c>
      <c r="H32" s="3" t="s">
        <v>9</v>
      </c>
    </row>
    <row r="33">
      <c r="A33" s="3" t="s">
        <v>47</v>
      </c>
      <c r="B33" s="3" t="s">
        <v>8</v>
      </c>
      <c r="C33" s="3" t="s">
        <v>8</v>
      </c>
      <c r="D33" s="3">
        <v>1.0</v>
      </c>
      <c r="E33" s="3">
        <v>1.4483557</v>
      </c>
      <c r="F33" s="4">
        <f t="shared" si="1"/>
        <v>0</v>
      </c>
      <c r="G33" s="4">
        <f t="shared" si="2"/>
        <v>1</v>
      </c>
      <c r="H33" s="3" t="s">
        <v>9</v>
      </c>
    </row>
    <row r="34">
      <c r="A34" s="3" t="s">
        <v>48</v>
      </c>
      <c r="B34" s="3" t="s">
        <v>8</v>
      </c>
      <c r="C34" s="3" t="s">
        <v>8</v>
      </c>
      <c r="D34" s="3">
        <v>1.0</v>
      </c>
      <c r="E34" s="3">
        <v>3.3713018</v>
      </c>
      <c r="F34" s="4">
        <f t="shared" si="1"/>
        <v>0</v>
      </c>
      <c r="G34" s="4">
        <f t="shared" si="2"/>
        <v>1</v>
      </c>
      <c r="H34" s="3" t="s">
        <v>9</v>
      </c>
    </row>
    <row r="35">
      <c r="A35" s="3" t="s">
        <v>49</v>
      </c>
      <c r="B35" s="3" t="s">
        <v>13</v>
      </c>
      <c r="C35" s="3" t="s">
        <v>13</v>
      </c>
      <c r="D35" s="3">
        <v>1.0</v>
      </c>
      <c r="E35" s="3">
        <v>1.2631477</v>
      </c>
      <c r="F35" s="4">
        <f t="shared" si="1"/>
        <v>0</v>
      </c>
      <c r="G35" s="4">
        <f t="shared" si="2"/>
        <v>1</v>
      </c>
      <c r="H35" s="3" t="s">
        <v>9</v>
      </c>
    </row>
    <row r="36">
      <c r="A36" s="3" t="s">
        <v>50</v>
      </c>
      <c r="B36" s="3" t="s">
        <v>13</v>
      </c>
      <c r="C36" s="3" t="s">
        <v>13</v>
      </c>
      <c r="D36" s="3">
        <v>1.0</v>
      </c>
      <c r="E36" s="3">
        <v>0.8974351</v>
      </c>
      <c r="F36" s="4">
        <f t="shared" si="1"/>
        <v>0</v>
      </c>
      <c r="G36" s="4">
        <f t="shared" si="2"/>
        <v>1</v>
      </c>
      <c r="H36" s="3" t="s">
        <v>9</v>
      </c>
    </row>
    <row r="37">
      <c r="A37" s="3" t="s">
        <v>51</v>
      </c>
      <c r="B37" s="3" t="s">
        <v>8</v>
      </c>
      <c r="C37" s="3" t="s">
        <v>8</v>
      </c>
      <c r="D37" s="3">
        <v>1.0</v>
      </c>
      <c r="E37" s="3">
        <v>0.9268056</v>
      </c>
      <c r="F37" s="4">
        <f t="shared" si="1"/>
        <v>0</v>
      </c>
      <c r="G37" s="4">
        <f t="shared" si="2"/>
        <v>1</v>
      </c>
      <c r="H37" s="3" t="s">
        <v>9</v>
      </c>
    </row>
    <row r="38">
      <c r="A38" s="3" t="s">
        <v>52</v>
      </c>
      <c r="B38" s="3" t="s">
        <v>8</v>
      </c>
      <c r="C38" s="3" t="s">
        <v>8</v>
      </c>
      <c r="D38" s="3">
        <v>1.0</v>
      </c>
      <c r="E38" s="3">
        <v>0.8505951</v>
      </c>
      <c r="F38" s="4">
        <f t="shared" si="1"/>
        <v>0</v>
      </c>
      <c r="G38" s="4">
        <f t="shared" si="2"/>
        <v>1</v>
      </c>
      <c r="H38" s="3" t="s">
        <v>9</v>
      </c>
    </row>
    <row r="39">
      <c r="A39" s="3" t="s">
        <v>53</v>
      </c>
      <c r="B39" s="3" t="s">
        <v>8</v>
      </c>
      <c r="C39" s="3" t="s">
        <v>8</v>
      </c>
      <c r="D39" s="3">
        <v>1.0</v>
      </c>
      <c r="E39" s="3">
        <v>1.7153632</v>
      </c>
      <c r="F39" s="4">
        <f t="shared" si="1"/>
        <v>0</v>
      </c>
      <c r="G39" s="4">
        <f t="shared" si="2"/>
        <v>1</v>
      </c>
      <c r="H39" s="3" t="s">
        <v>9</v>
      </c>
    </row>
    <row r="40">
      <c r="A40" s="3" t="s">
        <v>54</v>
      </c>
      <c r="B40" s="3" t="s">
        <v>13</v>
      </c>
      <c r="C40" s="3" t="s">
        <v>13</v>
      </c>
      <c r="D40" s="3">
        <v>1.0</v>
      </c>
      <c r="E40" s="3">
        <v>1.1223754</v>
      </c>
      <c r="F40" s="4">
        <f t="shared" si="1"/>
        <v>0</v>
      </c>
      <c r="G40" s="4">
        <f t="shared" si="2"/>
        <v>1</v>
      </c>
      <c r="H40" s="3" t="s">
        <v>9</v>
      </c>
    </row>
    <row r="41">
      <c r="A41" s="3" t="s">
        <v>55</v>
      </c>
      <c r="B41" s="3" t="s">
        <v>8</v>
      </c>
      <c r="C41" s="3" t="s">
        <v>8</v>
      </c>
      <c r="D41" s="3">
        <v>1.0</v>
      </c>
      <c r="E41" s="3">
        <v>4.4039936</v>
      </c>
      <c r="F41" s="4">
        <f t="shared" si="1"/>
        <v>0</v>
      </c>
      <c r="G41" s="4">
        <f t="shared" si="2"/>
        <v>1</v>
      </c>
      <c r="H41" s="3" t="s">
        <v>9</v>
      </c>
    </row>
    <row r="42">
      <c r="A42" s="3" t="s">
        <v>56</v>
      </c>
      <c r="B42" s="3" t="s">
        <v>13</v>
      </c>
      <c r="C42" s="3" t="s">
        <v>13</v>
      </c>
      <c r="D42" s="3">
        <v>1.0</v>
      </c>
      <c r="E42" s="3">
        <v>0.8426621</v>
      </c>
      <c r="F42" s="4">
        <f t="shared" si="1"/>
        <v>0</v>
      </c>
      <c r="G42" s="4">
        <f t="shared" si="2"/>
        <v>1</v>
      </c>
      <c r="H42" s="3" t="s">
        <v>9</v>
      </c>
    </row>
    <row r="43">
      <c r="A43" s="3" t="s">
        <v>57</v>
      </c>
      <c r="B43" s="3" t="s">
        <v>8</v>
      </c>
      <c r="C43" s="3" t="s">
        <v>8</v>
      </c>
      <c r="D43" s="3">
        <v>1.0</v>
      </c>
      <c r="E43" s="3">
        <v>1.5793255</v>
      </c>
      <c r="F43" s="4">
        <f t="shared" si="1"/>
        <v>0</v>
      </c>
      <c r="G43" s="4">
        <f t="shared" si="2"/>
        <v>1</v>
      </c>
      <c r="H43" s="3" t="s">
        <v>9</v>
      </c>
    </row>
    <row r="44">
      <c r="A44" s="3" t="s">
        <v>58</v>
      </c>
      <c r="B44" s="3" t="s">
        <v>8</v>
      </c>
      <c r="C44" s="3" t="s">
        <v>8</v>
      </c>
      <c r="D44" s="3">
        <v>1.0</v>
      </c>
      <c r="E44" s="3">
        <v>0.717624</v>
      </c>
      <c r="F44" s="4">
        <f t="shared" si="1"/>
        <v>0</v>
      </c>
      <c r="G44" s="4">
        <f t="shared" si="2"/>
        <v>1</v>
      </c>
      <c r="H44" s="3" t="s">
        <v>9</v>
      </c>
    </row>
    <row r="45">
      <c r="A45" s="3" t="s">
        <v>59</v>
      </c>
      <c r="B45" s="3" t="s">
        <v>8</v>
      </c>
      <c r="C45" s="3" t="s">
        <v>8</v>
      </c>
      <c r="D45" s="3">
        <v>1.0</v>
      </c>
      <c r="E45" s="3">
        <v>3.2763617</v>
      </c>
      <c r="F45" s="4">
        <f t="shared" si="1"/>
        <v>0</v>
      </c>
      <c r="G45" s="4">
        <f t="shared" si="2"/>
        <v>1</v>
      </c>
      <c r="H45" s="3" t="s">
        <v>9</v>
      </c>
    </row>
    <row r="46">
      <c r="A46" s="3" t="s">
        <v>60</v>
      </c>
      <c r="B46" s="3" t="s">
        <v>8</v>
      </c>
      <c r="C46" s="3" t="s">
        <v>8</v>
      </c>
      <c r="D46" s="3">
        <v>1.0</v>
      </c>
      <c r="E46" s="3">
        <v>1.3080083</v>
      </c>
      <c r="F46" s="4">
        <f t="shared" si="1"/>
        <v>0</v>
      </c>
      <c r="G46" s="4">
        <f t="shared" si="2"/>
        <v>1</v>
      </c>
      <c r="H46" s="3" t="s">
        <v>9</v>
      </c>
    </row>
    <row r="47">
      <c r="A47" s="3" t="s">
        <v>61</v>
      </c>
      <c r="B47" s="3" t="s">
        <v>8</v>
      </c>
      <c r="C47" s="3" t="s">
        <v>8</v>
      </c>
      <c r="D47" s="3">
        <v>1.0</v>
      </c>
      <c r="E47" s="3">
        <v>0.7506899</v>
      </c>
      <c r="F47" s="4">
        <f t="shared" si="1"/>
        <v>0</v>
      </c>
      <c r="G47" s="4">
        <f t="shared" si="2"/>
        <v>1</v>
      </c>
      <c r="H47" s="3" t="s">
        <v>9</v>
      </c>
    </row>
    <row r="48">
      <c r="A48" s="3" t="s">
        <v>62</v>
      </c>
      <c r="B48" s="3" t="s">
        <v>8</v>
      </c>
      <c r="C48" s="3" t="s">
        <v>8</v>
      </c>
      <c r="D48" s="3">
        <v>1.0</v>
      </c>
      <c r="E48" s="3">
        <v>0.5739608</v>
      </c>
      <c r="F48" s="4">
        <f t="shared" si="1"/>
        <v>0</v>
      </c>
      <c r="G48" s="4">
        <f t="shared" si="2"/>
        <v>1</v>
      </c>
      <c r="H48" s="3" t="s">
        <v>9</v>
      </c>
    </row>
    <row r="49">
      <c r="A49" s="3" t="s">
        <v>63</v>
      </c>
      <c r="B49" s="3" t="s">
        <v>8</v>
      </c>
      <c r="C49" s="3" t="s">
        <v>8</v>
      </c>
      <c r="D49" s="3">
        <v>1.0</v>
      </c>
      <c r="E49" s="3">
        <v>0.4960129</v>
      </c>
      <c r="F49" s="4">
        <f t="shared" si="1"/>
        <v>0</v>
      </c>
      <c r="G49" s="4">
        <f t="shared" si="2"/>
        <v>1</v>
      </c>
      <c r="H49" s="3" t="s">
        <v>9</v>
      </c>
    </row>
    <row r="50">
      <c r="A50" s="3" t="s">
        <v>64</v>
      </c>
      <c r="B50" s="3" t="s">
        <v>13</v>
      </c>
      <c r="C50" s="3" t="s">
        <v>8</v>
      </c>
      <c r="D50" s="7">
        <v>0.0</v>
      </c>
      <c r="E50" s="3">
        <v>0.6989969</v>
      </c>
      <c r="F50" s="4">
        <f t="shared" si="1"/>
        <v>0</v>
      </c>
      <c r="G50" s="8">
        <f t="shared" si="2"/>
        <v>0</v>
      </c>
      <c r="H50" s="3" t="s">
        <v>9</v>
      </c>
    </row>
    <row r="51">
      <c r="A51" s="3" t="s">
        <v>65</v>
      </c>
      <c r="B51" s="3" t="s">
        <v>13</v>
      </c>
      <c r="C51" s="3" t="s">
        <v>13</v>
      </c>
      <c r="D51" s="3">
        <v>1.0</v>
      </c>
      <c r="E51" s="3">
        <v>0.8275664</v>
      </c>
      <c r="F51" s="4">
        <f t="shared" si="1"/>
        <v>0</v>
      </c>
      <c r="G51" s="4">
        <f t="shared" si="2"/>
        <v>1</v>
      </c>
      <c r="H51" s="3" t="s">
        <v>9</v>
      </c>
    </row>
    <row r="53">
      <c r="A53" s="3" t="s">
        <v>66</v>
      </c>
      <c r="B53" s="3" t="s">
        <v>8</v>
      </c>
      <c r="C53" s="3" t="s">
        <v>13</v>
      </c>
      <c r="D53" s="7">
        <v>0.0</v>
      </c>
      <c r="E53" s="3">
        <v>2.5717529</v>
      </c>
      <c r="F53" s="4">
        <f t="shared" ref="F53:F102" si="3">IF(OR(E53 &lt; 0.2, E53 &gt; 5), 1, 0)</f>
        <v>0</v>
      </c>
      <c r="G53" s="8">
        <f t="shared" ref="G53:G102" si="4">IF(AND(D53=1, F53=0), 1, 0)
</f>
        <v>0</v>
      </c>
      <c r="H53" s="3" t="s">
        <v>21</v>
      </c>
    </row>
    <row r="54">
      <c r="A54" s="3" t="s">
        <v>67</v>
      </c>
      <c r="B54" s="3" t="s">
        <v>8</v>
      </c>
      <c r="C54" s="3" t="s">
        <v>8</v>
      </c>
      <c r="D54" s="3">
        <v>1.0</v>
      </c>
      <c r="E54" s="3">
        <v>4.7818502</v>
      </c>
      <c r="F54" s="4">
        <f t="shared" si="3"/>
        <v>0</v>
      </c>
      <c r="G54" s="4">
        <f t="shared" si="4"/>
        <v>1</v>
      </c>
      <c r="H54" s="3" t="s">
        <v>21</v>
      </c>
    </row>
    <row r="55">
      <c r="A55" s="3" t="s">
        <v>68</v>
      </c>
      <c r="B55" s="3" t="s">
        <v>8</v>
      </c>
      <c r="C55" s="3" t="s">
        <v>8</v>
      </c>
      <c r="D55" s="3">
        <v>1.0</v>
      </c>
      <c r="E55" s="3">
        <v>0.7207185</v>
      </c>
      <c r="F55" s="4">
        <f t="shared" si="3"/>
        <v>0</v>
      </c>
      <c r="G55" s="4">
        <f t="shared" si="4"/>
        <v>1</v>
      </c>
      <c r="H55" s="3" t="s">
        <v>21</v>
      </c>
    </row>
    <row r="56">
      <c r="A56" s="3" t="s">
        <v>55</v>
      </c>
      <c r="B56" s="3" t="s">
        <v>13</v>
      </c>
      <c r="C56" s="3" t="s">
        <v>8</v>
      </c>
      <c r="D56" s="7">
        <v>0.0</v>
      </c>
      <c r="E56" s="3">
        <v>0.7416567</v>
      </c>
      <c r="F56" s="4">
        <f t="shared" si="3"/>
        <v>0</v>
      </c>
      <c r="G56" s="8">
        <f t="shared" si="4"/>
        <v>0</v>
      </c>
      <c r="H56" s="3" t="s">
        <v>21</v>
      </c>
    </row>
    <row r="57">
      <c r="A57" s="3" t="s">
        <v>69</v>
      </c>
      <c r="B57" s="3" t="s">
        <v>13</v>
      </c>
      <c r="C57" s="3" t="s">
        <v>13</v>
      </c>
      <c r="D57" s="3">
        <v>1.0</v>
      </c>
      <c r="E57" s="3">
        <v>1.1978473</v>
      </c>
      <c r="F57" s="4">
        <f t="shared" si="3"/>
        <v>0</v>
      </c>
      <c r="G57" s="4">
        <f t="shared" si="4"/>
        <v>1</v>
      </c>
      <c r="H57" s="3" t="s">
        <v>21</v>
      </c>
    </row>
    <row r="58">
      <c r="A58" s="3" t="s">
        <v>70</v>
      </c>
      <c r="B58" s="3" t="s">
        <v>13</v>
      </c>
      <c r="C58" s="3" t="s">
        <v>8</v>
      </c>
      <c r="D58" s="7">
        <v>0.0</v>
      </c>
      <c r="E58" s="3">
        <v>1.5123418</v>
      </c>
      <c r="F58" s="4">
        <f t="shared" si="3"/>
        <v>0</v>
      </c>
      <c r="G58" s="8">
        <f t="shared" si="4"/>
        <v>0</v>
      </c>
      <c r="H58" s="3" t="s">
        <v>21</v>
      </c>
    </row>
    <row r="59">
      <c r="A59" s="3" t="s">
        <v>71</v>
      </c>
      <c r="B59" s="3" t="s">
        <v>8</v>
      </c>
      <c r="C59" s="3" t="s">
        <v>8</v>
      </c>
      <c r="D59" s="3">
        <v>1.0</v>
      </c>
      <c r="E59" s="3">
        <v>1.5795512</v>
      </c>
      <c r="F59" s="4">
        <f t="shared" si="3"/>
        <v>0</v>
      </c>
      <c r="G59" s="4">
        <f t="shared" si="4"/>
        <v>1</v>
      </c>
      <c r="H59" s="3" t="s">
        <v>21</v>
      </c>
    </row>
    <row r="60">
      <c r="A60" s="3" t="s">
        <v>72</v>
      </c>
      <c r="B60" s="3" t="s">
        <v>8</v>
      </c>
      <c r="C60" s="3" t="s">
        <v>8</v>
      </c>
      <c r="D60" s="3">
        <v>1.0</v>
      </c>
      <c r="E60" s="3">
        <v>1.244056</v>
      </c>
      <c r="F60" s="4">
        <f t="shared" si="3"/>
        <v>0</v>
      </c>
      <c r="G60" s="4">
        <f t="shared" si="4"/>
        <v>1</v>
      </c>
      <c r="H60" s="3" t="s">
        <v>21</v>
      </c>
      <c r="J60" s="3" t="s">
        <v>21</v>
      </c>
    </row>
    <row r="61">
      <c r="A61" s="3" t="s">
        <v>43</v>
      </c>
      <c r="B61" s="3" t="s">
        <v>13</v>
      </c>
      <c r="C61" s="3" t="s">
        <v>13</v>
      </c>
      <c r="D61" s="3">
        <v>1.0</v>
      </c>
      <c r="E61" s="3">
        <v>0.7299078</v>
      </c>
      <c r="F61" s="4">
        <f t="shared" si="3"/>
        <v>0</v>
      </c>
      <c r="G61" s="4">
        <f t="shared" si="4"/>
        <v>1</v>
      </c>
      <c r="H61" s="3" t="s">
        <v>21</v>
      </c>
      <c r="J61" s="3" t="s">
        <v>23</v>
      </c>
      <c r="K61" s="4">
        <f>IFERROR(__xludf.DUMMYFUNCTION("MEDIAN(FILTER(E:E, G:G=1, H:H=""incongruent""))
"),0.9121615)</f>
        <v>0.9121615</v>
      </c>
    </row>
    <row r="62">
      <c r="A62" s="3" t="s">
        <v>73</v>
      </c>
      <c r="B62" s="3" t="s">
        <v>8</v>
      </c>
      <c r="C62" s="3" t="s">
        <v>8</v>
      </c>
      <c r="D62" s="3">
        <v>1.0</v>
      </c>
      <c r="E62" s="3">
        <v>0.7281567</v>
      </c>
      <c r="F62" s="4">
        <f t="shared" si="3"/>
        <v>0</v>
      </c>
      <c r="G62" s="4">
        <f t="shared" si="4"/>
        <v>1</v>
      </c>
      <c r="H62" s="3" t="s">
        <v>21</v>
      </c>
    </row>
    <row r="63">
      <c r="A63" s="3" t="s">
        <v>59</v>
      </c>
      <c r="B63" s="3" t="s">
        <v>13</v>
      </c>
      <c r="C63" s="3" t="s">
        <v>13</v>
      </c>
      <c r="D63" s="3">
        <v>1.0</v>
      </c>
      <c r="E63" s="3">
        <v>0.5564289</v>
      </c>
      <c r="F63" s="4">
        <f t="shared" si="3"/>
        <v>0</v>
      </c>
      <c r="G63" s="4">
        <f t="shared" si="4"/>
        <v>1</v>
      </c>
      <c r="H63" s="3" t="s">
        <v>21</v>
      </c>
      <c r="J63" s="3" t="s">
        <v>27</v>
      </c>
      <c r="L63" s="4">
        <f>IFERROR(__xludf.DUMMYFUNCTION("AVERAGE(FILTER(D:D, H:H=""incongruent""))
"),0.72)</f>
        <v>0.72</v>
      </c>
    </row>
    <row r="64">
      <c r="A64" s="3" t="s">
        <v>74</v>
      </c>
      <c r="B64" s="3" t="s">
        <v>8</v>
      </c>
      <c r="C64" s="3" t="s">
        <v>8</v>
      </c>
      <c r="D64" s="3">
        <v>1.0</v>
      </c>
      <c r="E64" s="3">
        <v>0.9270015</v>
      </c>
      <c r="F64" s="4">
        <f t="shared" si="3"/>
        <v>0</v>
      </c>
      <c r="G64" s="4">
        <f t="shared" si="4"/>
        <v>1</v>
      </c>
      <c r="H64" s="3" t="s">
        <v>21</v>
      </c>
    </row>
    <row r="65">
      <c r="A65" s="3" t="s">
        <v>51</v>
      </c>
      <c r="B65" s="3" t="s">
        <v>13</v>
      </c>
      <c r="C65" s="3" t="s">
        <v>13</v>
      </c>
      <c r="D65" s="3">
        <v>1.0</v>
      </c>
      <c r="E65" s="3">
        <v>3.7491968</v>
      </c>
      <c r="F65" s="4">
        <f t="shared" si="3"/>
        <v>0</v>
      </c>
      <c r="G65" s="4">
        <f t="shared" si="4"/>
        <v>1</v>
      </c>
      <c r="H65" s="3" t="s">
        <v>21</v>
      </c>
    </row>
    <row r="66">
      <c r="A66" s="3" t="s">
        <v>34</v>
      </c>
      <c r="B66" s="3" t="s">
        <v>13</v>
      </c>
      <c r="C66" s="3" t="s">
        <v>13</v>
      </c>
      <c r="D66" s="3">
        <v>1.0</v>
      </c>
      <c r="E66" s="3">
        <v>0.624576</v>
      </c>
      <c r="F66" s="4">
        <f t="shared" si="3"/>
        <v>0</v>
      </c>
      <c r="G66" s="4">
        <f t="shared" si="4"/>
        <v>1</v>
      </c>
      <c r="H66" s="3" t="s">
        <v>21</v>
      </c>
    </row>
    <row r="67">
      <c r="A67" s="3" t="s">
        <v>57</v>
      </c>
      <c r="B67" s="3" t="s">
        <v>13</v>
      </c>
      <c r="C67" s="3" t="s">
        <v>13</v>
      </c>
      <c r="D67" s="3">
        <v>1.0</v>
      </c>
      <c r="E67" s="3">
        <v>0.5343887</v>
      </c>
      <c r="F67" s="4">
        <f t="shared" si="3"/>
        <v>0</v>
      </c>
      <c r="G67" s="4">
        <f t="shared" si="4"/>
        <v>1</v>
      </c>
      <c r="H67" s="3" t="s">
        <v>21</v>
      </c>
    </row>
    <row r="68">
      <c r="A68" s="3" t="s">
        <v>75</v>
      </c>
      <c r="B68" s="3" t="s">
        <v>8</v>
      </c>
      <c r="C68" s="3" t="s">
        <v>13</v>
      </c>
      <c r="D68" s="7">
        <v>0.0</v>
      </c>
      <c r="E68" s="3">
        <v>0.6055362</v>
      </c>
      <c r="F68" s="4">
        <f t="shared" si="3"/>
        <v>0</v>
      </c>
      <c r="G68" s="8">
        <f t="shared" si="4"/>
        <v>0</v>
      </c>
      <c r="H68" s="3" t="s">
        <v>21</v>
      </c>
    </row>
    <row r="69">
      <c r="A69" s="3" t="s">
        <v>62</v>
      </c>
      <c r="B69" s="3" t="s">
        <v>13</v>
      </c>
      <c r="C69" s="3" t="s">
        <v>13</v>
      </c>
      <c r="D69" s="3">
        <v>1.0</v>
      </c>
      <c r="E69" s="3">
        <v>0.6113143</v>
      </c>
      <c r="F69" s="4">
        <f t="shared" si="3"/>
        <v>0</v>
      </c>
      <c r="G69" s="4">
        <f t="shared" si="4"/>
        <v>1</v>
      </c>
      <c r="H69" s="3" t="s">
        <v>21</v>
      </c>
    </row>
    <row r="70">
      <c r="A70" s="3" t="s">
        <v>76</v>
      </c>
      <c r="B70" s="3" t="s">
        <v>8</v>
      </c>
      <c r="C70" s="3" t="s">
        <v>13</v>
      </c>
      <c r="D70" s="7">
        <v>0.0</v>
      </c>
      <c r="E70" s="3">
        <v>0.595032</v>
      </c>
      <c r="F70" s="4">
        <f t="shared" si="3"/>
        <v>0</v>
      </c>
      <c r="G70" s="8">
        <f t="shared" si="4"/>
        <v>0</v>
      </c>
      <c r="H70" s="3" t="s">
        <v>21</v>
      </c>
    </row>
    <row r="71">
      <c r="A71" s="3" t="s">
        <v>77</v>
      </c>
      <c r="B71" s="3" t="s">
        <v>8</v>
      </c>
      <c r="C71" s="3" t="s">
        <v>13</v>
      </c>
      <c r="D71" s="7">
        <v>0.0</v>
      </c>
      <c r="E71" s="3">
        <v>1.3728121</v>
      </c>
      <c r="F71" s="4">
        <f t="shared" si="3"/>
        <v>0</v>
      </c>
      <c r="G71" s="8">
        <f t="shared" si="4"/>
        <v>0</v>
      </c>
      <c r="H71" s="3" t="s">
        <v>21</v>
      </c>
    </row>
    <row r="72">
      <c r="A72" s="3" t="s">
        <v>52</v>
      </c>
      <c r="B72" s="3" t="s">
        <v>13</v>
      </c>
      <c r="C72" s="3" t="s">
        <v>8</v>
      </c>
      <c r="D72" s="7">
        <v>0.0</v>
      </c>
      <c r="E72" s="3">
        <v>1.9868085</v>
      </c>
      <c r="F72" s="4">
        <f t="shared" si="3"/>
        <v>0</v>
      </c>
      <c r="G72" s="8">
        <f t="shared" si="4"/>
        <v>0</v>
      </c>
      <c r="H72" s="3" t="s">
        <v>21</v>
      </c>
    </row>
    <row r="73">
      <c r="A73" s="3" t="s">
        <v>7</v>
      </c>
      <c r="B73" s="3" t="s">
        <v>13</v>
      </c>
      <c r="C73" s="3" t="s">
        <v>13</v>
      </c>
      <c r="D73" s="3">
        <v>1.0</v>
      </c>
      <c r="E73" s="3">
        <v>0.7357408</v>
      </c>
      <c r="F73" s="4">
        <f t="shared" si="3"/>
        <v>0</v>
      </c>
      <c r="G73" s="4">
        <f t="shared" si="4"/>
        <v>1</v>
      </c>
      <c r="H73" s="3" t="s">
        <v>21</v>
      </c>
    </row>
    <row r="74">
      <c r="A74" s="3" t="s">
        <v>78</v>
      </c>
      <c r="B74" s="3" t="s">
        <v>8</v>
      </c>
      <c r="C74" s="3" t="s">
        <v>13</v>
      </c>
      <c r="D74" s="7">
        <v>0.0</v>
      </c>
      <c r="E74" s="3">
        <v>0.396121</v>
      </c>
      <c r="F74" s="4">
        <f t="shared" si="3"/>
        <v>0</v>
      </c>
      <c r="G74" s="8">
        <f t="shared" si="4"/>
        <v>0</v>
      </c>
      <c r="H74" s="3" t="s">
        <v>21</v>
      </c>
    </row>
    <row r="75">
      <c r="A75" s="3" t="s">
        <v>79</v>
      </c>
      <c r="B75" s="3" t="s">
        <v>13</v>
      </c>
      <c r="C75" s="3" t="s">
        <v>13</v>
      </c>
      <c r="D75" s="3">
        <v>1.0</v>
      </c>
      <c r="E75" s="3">
        <v>0.8722798</v>
      </c>
      <c r="F75" s="4">
        <f t="shared" si="3"/>
        <v>0</v>
      </c>
      <c r="G75" s="4">
        <f t="shared" si="4"/>
        <v>1</v>
      </c>
      <c r="H75" s="3" t="s">
        <v>21</v>
      </c>
    </row>
    <row r="76">
      <c r="A76" s="3" t="s">
        <v>80</v>
      </c>
      <c r="B76" s="3" t="s">
        <v>8</v>
      </c>
      <c r="C76" s="3" t="s">
        <v>8</v>
      </c>
      <c r="D76" s="3">
        <v>1.0</v>
      </c>
      <c r="E76" s="3">
        <v>0.7788459</v>
      </c>
      <c r="F76" s="4">
        <f t="shared" si="3"/>
        <v>0</v>
      </c>
      <c r="G76" s="4">
        <f t="shared" si="4"/>
        <v>1</v>
      </c>
      <c r="H76" s="3" t="s">
        <v>21</v>
      </c>
    </row>
    <row r="77">
      <c r="A77" s="3" t="s">
        <v>33</v>
      </c>
      <c r="B77" s="3" t="s">
        <v>13</v>
      </c>
      <c r="C77" s="3" t="s">
        <v>13</v>
      </c>
      <c r="D77" s="3">
        <v>1.0</v>
      </c>
      <c r="E77" s="3">
        <v>1.4560115</v>
      </c>
      <c r="F77" s="4">
        <f t="shared" si="3"/>
        <v>0</v>
      </c>
      <c r="G77" s="4">
        <f t="shared" si="4"/>
        <v>1</v>
      </c>
      <c r="H77" s="3" t="s">
        <v>21</v>
      </c>
    </row>
    <row r="78">
      <c r="A78" s="3" t="s">
        <v>81</v>
      </c>
      <c r="B78" s="3" t="s">
        <v>13</v>
      </c>
      <c r="C78" s="3" t="s">
        <v>13</v>
      </c>
      <c r="D78" s="3">
        <v>1.0</v>
      </c>
      <c r="E78" s="3">
        <v>0.8972551</v>
      </c>
      <c r="F78" s="4">
        <f t="shared" si="3"/>
        <v>0</v>
      </c>
      <c r="G78" s="4">
        <f t="shared" si="4"/>
        <v>1</v>
      </c>
      <c r="H78" s="3" t="s">
        <v>21</v>
      </c>
    </row>
    <row r="79">
      <c r="A79" s="3" t="s">
        <v>82</v>
      </c>
      <c r="B79" s="3" t="s">
        <v>13</v>
      </c>
      <c r="C79" s="3" t="s">
        <v>13</v>
      </c>
      <c r="D79" s="3">
        <v>1.0</v>
      </c>
      <c r="E79" s="3">
        <v>1.0363011</v>
      </c>
      <c r="F79" s="4">
        <f t="shared" si="3"/>
        <v>0</v>
      </c>
      <c r="G79" s="4">
        <f t="shared" si="4"/>
        <v>1</v>
      </c>
      <c r="H79" s="3" t="s">
        <v>21</v>
      </c>
    </row>
    <row r="80">
      <c r="A80" s="3" t="s">
        <v>47</v>
      </c>
      <c r="B80" s="3" t="s">
        <v>13</v>
      </c>
      <c r="C80" s="3" t="s">
        <v>13</v>
      </c>
      <c r="D80" s="3">
        <v>1.0</v>
      </c>
      <c r="E80" s="3">
        <v>0.9121615</v>
      </c>
      <c r="F80" s="4">
        <f t="shared" si="3"/>
        <v>0</v>
      </c>
      <c r="G80" s="4">
        <f t="shared" si="4"/>
        <v>1</v>
      </c>
      <c r="H80" s="3" t="s">
        <v>21</v>
      </c>
    </row>
    <row r="81">
      <c r="A81" s="3" t="s">
        <v>83</v>
      </c>
      <c r="B81" s="3" t="s">
        <v>8</v>
      </c>
      <c r="C81" s="3" t="s">
        <v>8</v>
      </c>
      <c r="D81" s="3">
        <v>1.0</v>
      </c>
      <c r="E81" s="3">
        <v>1.7584007</v>
      </c>
      <c r="F81" s="4">
        <f t="shared" si="3"/>
        <v>0</v>
      </c>
      <c r="G81" s="4">
        <f t="shared" si="4"/>
        <v>1</v>
      </c>
      <c r="H81" s="3" t="s">
        <v>21</v>
      </c>
    </row>
    <row r="82">
      <c r="A82" s="3" t="s">
        <v>25</v>
      </c>
      <c r="B82" s="3" t="s">
        <v>13</v>
      </c>
      <c r="C82" s="3" t="s">
        <v>13</v>
      </c>
      <c r="D82" s="3">
        <v>1.0</v>
      </c>
      <c r="E82" s="3">
        <v>1.0208082</v>
      </c>
      <c r="F82" s="4">
        <f t="shared" si="3"/>
        <v>0</v>
      </c>
      <c r="G82" s="4">
        <f t="shared" si="4"/>
        <v>1</v>
      </c>
      <c r="H82" s="3" t="s">
        <v>21</v>
      </c>
    </row>
    <row r="83">
      <c r="A83" s="3" t="s">
        <v>24</v>
      </c>
      <c r="B83" s="3" t="s">
        <v>13</v>
      </c>
      <c r="C83" s="3" t="s">
        <v>13</v>
      </c>
      <c r="D83" s="3">
        <v>1.0</v>
      </c>
      <c r="E83" s="3">
        <v>0.9961373</v>
      </c>
      <c r="F83" s="4">
        <f t="shared" si="3"/>
        <v>0</v>
      </c>
      <c r="G83" s="4">
        <f t="shared" si="4"/>
        <v>1</v>
      </c>
      <c r="H83" s="3" t="s">
        <v>21</v>
      </c>
    </row>
    <row r="84">
      <c r="A84" s="3" t="s">
        <v>84</v>
      </c>
      <c r="B84" s="3" t="s">
        <v>8</v>
      </c>
      <c r="C84" s="3" t="s">
        <v>8</v>
      </c>
      <c r="D84" s="3">
        <v>1.0</v>
      </c>
      <c r="E84" s="3">
        <v>0.7662043</v>
      </c>
      <c r="F84" s="4">
        <f t="shared" si="3"/>
        <v>0</v>
      </c>
      <c r="G84" s="4">
        <f t="shared" si="4"/>
        <v>1</v>
      </c>
      <c r="H84" s="3" t="s">
        <v>21</v>
      </c>
    </row>
    <row r="85">
      <c r="A85" s="3" t="s">
        <v>11</v>
      </c>
      <c r="B85" s="3" t="s">
        <v>13</v>
      </c>
      <c r="C85" s="3" t="s">
        <v>8</v>
      </c>
      <c r="D85" s="7">
        <v>0.0</v>
      </c>
      <c r="E85" s="3">
        <v>1.2989589</v>
      </c>
      <c r="F85" s="4">
        <f t="shared" si="3"/>
        <v>0</v>
      </c>
      <c r="G85" s="8">
        <f t="shared" si="4"/>
        <v>0</v>
      </c>
      <c r="H85" s="3" t="s">
        <v>21</v>
      </c>
    </row>
    <row r="86">
      <c r="A86" s="3" t="s">
        <v>53</v>
      </c>
      <c r="B86" s="3" t="s">
        <v>13</v>
      </c>
      <c r="C86" s="3" t="s">
        <v>8</v>
      </c>
      <c r="D86" s="7">
        <v>0.0</v>
      </c>
      <c r="E86" s="3">
        <v>1.3634508</v>
      </c>
      <c r="F86" s="4">
        <f t="shared" si="3"/>
        <v>0</v>
      </c>
      <c r="G86" s="8">
        <f t="shared" si="4"/>
        <v>0</v>
      </c>
      <c r="H86" s="3" t="s">
        <v>21</v>
      </c>
    </row>
    <row r="87">
      <c r="A87" s="3" t="s">
        <v>85</v>
      </c>
      <c r="B87" s="3" t="s">
        <v>8</v>
      </c>
      <c r="C87" s="3" t="s">
        <v>8</v>
      </c>
      <c r="D87" s="3">
        <v>1.0</v>
      </c>
      <c r="E87" s="3">
        <v>1.6488074</v>
      </c>
      <c r="F87" s="4">
        <f t="shared" si="3"/>
        <v>0</v>
      </c>
      <c r="G87" s="4">
        <f t="shared" si="4"/>
        <v>1</v>
      </c>
      <c r="H87" s="3" t="s">
        <v>21</v>
      </c>
    </row>
    <row r="88">
      <c r="A88" s="3" t="s">
        <v>86</v>
      </c>
      <c r="B88" s="3" t="s">
        <v>8</v>
      </c>
      <c r="C88" s="3" t="s">
        <v>8</v>
      </c>
      <c r="D88" s="3">
        <v>1.0</v>
      </c>
      <c r="E88" s="3">
        <v>0.9944227</v>
      </c>
      <c r="F88" s="4">
        <f t="shared" si="3"/>
        <v>0</v>
      </c>
      <c r="G88" s="4">
        <f t="shared" si="4"/>
        <v>1</v>
      </c>
      <c r="H88" s="3" t="s">
        <v>21</v>
      </c>
    </row>
    <row r="89">
      <c r="A89" s="3" t="s">
        <v>87</v>
      </c>
      <c r="B89" s="3" t="s">
        <v>8</v>
      </c>
      <c r="C89" s="3" t="s">
        <v>13</v>
      </c>
      <c r="D89" s="7">
        <v>0.0</v>
      </c>
      <c r="E89" s="3">
        <v>1.0006261</v>
      </c>
      <c r="F89" s="4">
        <f t="shared" si="3"/>
        <v>0</v>
      </c>
      <c r="G89" s="8">
        <f t="shared" si="4"/>
        <v>0</v>
      </c>
      <c r="H89" s="3" t="s">
        <v>21</v>
      </c>
    </row>
    <row r="90">
      <c r="A90" s="3" t="s">
        <v>88</v>
      </c>
      <c r="B90" s="3" t="s">
        <v>8</v>
      </c>
      <c r="C90" s="3" t="s">
        <v>8</v>
      </c>
      <c r="D90" s="3">
        <v>1.0</v>
      </c>
      <c r="E90" s="3">
        <v>1.5184788</v>
      </c>
      <c r="F90" s="4">
        <f t="shared" si="3"/>
        <v>0</v>
      </c>
      <c r="G90" s="4">
        <f t="shared" si="4"/>
        <v>1</v>
      </c>
      <c r="H90" s="3" t="s">
        <v>21</v>
      </c>
    </row>
    <row r="91">
      <c r="A91" s="3" t="s">
        <v>89</v>
      </c>
      <c r="B91" s="3" t="s">
        <v>8</v>
      </c>
      <c r="C91" s="3" t="s">
        <v>8</v>
      </c>
      <c r="D91" s="3">
        <v>1.0</v>
      </c>
      <c r="E91" s="3">
        <v>0.7798208</v>
      </c>
      <c r="F91" s="4">
        <f t="shared" si="3"/>
        <v>0</v>
      </c>
      <c r="G91" s="4">
        <f t="shared" si="4"/>
        <v>1</v>
      </c>
      <c r="H91" s="3" t="s">
        <v>21</v>
      </c>
    </row>
    <row r="92">
      <c r="A92" s="3" t="s">
        <v>61</v>
      </c>
      <c r="B92" s="3" t="s">
        <v>13</v>
      </c>
      <c r="C92" s="3" t="s">
        <v>13</v>
      </c>
      <c r="D92" s="3">
        <v>1.0</v>
      </c>
      <c r="E92" s="3">
        <v>10.3894138</v>
      </c>
      <c r="F92" s="9">
        <f t="shared" si="3"/>
        <v>1</v>
      </c>
      <c r="G92" s="8">
        <f t="shared" si="4"/>
        <v>0</v>
      </c>
      <c r="H92" s="3" t="s">
        <v>21</v>
      </c>
    </row>
    <row r="93">
      <c r="A93" s="3" t="s">
        <v>19</v>
      </c>
      <c r="B93" s="3" t="s">
        <v>13</v>
      </c>
      <c r="C93" s="3" t="s">
        <v>8</v>
      </c>
      <c r="D93" s="7">
        <v>0.0</v>
      </c>
      <c r="E93" s="3">
        <v>2.2088244</v>
      </c>
      <c r="F93" s="4">
        <f t="shared" si="3"/>
        <v>0</v>
      </c>
      <c r="G93" s="8">
        <f t="shared" si="4"/>
        <v>0</v>
      </c>
      <c r="H93" s="3" t="s">
        <v>21</v>
      </c>
    </row>
    <row r="94">
      <c r="A94" s="3" t="s">
        <v>90</v>
      </c>
      <c r="B94" s="3" t="s">
        <v>13</v>
      </c>
      <c r="C94" s="3" t="s">
        <v>13</v>
      </c>
      <c r="D94" s="3">
        <v>1.0</v>
      </c>
      <c r="E94" s="3">
        <v>3.1566067</v>
      </c>
      <c r="F94" s="4">
        <f t="shared" si="3"/>
        <v>0</v>
      </c>
      <c r="G94" s="4">
        <f t="shared" si="4"/>
        <v>1</v>
      </c>
      <c r="H94" s="3" t="s">
        <v>21</v>
      </c>
    </row>
    <row r="95">
      <c r="A95" s="3" t="s">
        <v>91</v>
      </c>
      <c r="B95" s="3" t="s">
        <v>8</v>
      </c>
      <c r="C95" s="3" t="s">
        <v>8</v>
      </c>
      <c r="D95" s="3">
        <v>1.0</v>
      </c>
      <c r="E95" s="3">
        <v>4.5811397</v>
      </c>
      <c r="F95" s="4">
        <f t="shared" si="3"/>
        <v>0</v>
      </c>
      <c r="G95" s="4">
        <f t="shared" si="4"/>
        <v>1</v>
      </c>
      <c r="H95" s="3" t="s">
        <v>21</v>
      </c>
    </row>
    <row r="96">
      <c r="A96" s="3" t="s">
        <v>92</v>
      </c>
      <c r="B96" s="3" t="s">
        <v>8</v>
      </c>
      <c r="C96" s="3" t="s">
        <v>8</v>
      </c>
      <c r="D96" s="3">
        <v>1.0</v>
      </c>
      <c r="E96" s="3">
        <v>0.5860543</v>
      </c>
      <c r="F96" s="4">
        <f t="shared" si="3"/>
        <v>0</v>
      </c>
      <c r="G96" s="4">
        <f t="shared" si="4"/>
        <v>1</v>
      </c>
      <c r="H96" s="3" t="s">
        <v>21</v>
      </c>
    </row>
    <row r="97">
      <c r="A97" s="3" t="s">
        <v>93</v>
      </c>
      <c r="B97" s="3" t="s">
        <v>8</v>
      </c>
      <c r="C97" s="3" t="s">
        <v>8</v>
      </c>
      <c r="D97" s="3">
        <v>1.0</v>
      </c>
      <c r="E97" s="3">
        <v>1.8332443</v>
      </c>
      <c r="F97" s="4">
        <f t="shared" si="3"/>
        <v>0</v>
      </c>
      <c r="G97" s="4">
        <f t="shared" si="4"/>
        <v>1</v>
      </c>
      <c r="H97" s="3" t="s">
        <v>21</v>
      </c>
    </row>
    <row r="98">
      <c r="A98" s="3" t="s">
        <v>94</v>
      </c>
      <c r="B98" s="3" t="s">
        <v>8</v>
      </c>
      <c r="C98" s="3" t="s">
        <v>8</v>
      </c>
      <c r="D98" s="3">
        <v>1.0</v>
      </c>
      <c r="E98" s="3">
        <v>0.6936649</v>
      </c>
      <c r="F98" s="4">
        <f t="shared" si="3"/>
        <v>0</v>
      </c>
      <c r="G98" s="4">
        <f t="shared" si="4"/>
        <v>1</v>
      </c>
      <c r="H98" s="3" t="s">
        <v>21</v>
      </c>
    </row>
    <row r="99">
      <c r="A99" s="3" t="s">
        <v>17</v>
      </c>
      <c r="B99" s="3" t="s">
        <v>8</v>
      </c>
      <c r="C99" s="3" t="s">
        <v>8</v>
      </c>
      <c r="D99" s="3">
        <v>1.0</v>
      </c>
      <c r="E99" s="3">
        <v>0.5345995</v>
      </c>
      <c r="F99" s="4">
        <f t="shared" si="3"/>
        <v>0</v>
      </c>
      <c r="G99" s="4">
        <f t="shared" si="4"/>
        <v>1</v>
      </c>
      <c r="H99" s="3" t="s">
        <v>21</v>
      </c>
    </row>
    <row r="100">
      <c r="A100" s="3" t="s">
        <v>95</v>
      </c>
      <c r="B100" s="3" t="s">
        <v>8</v>
      </c>
      <c r="C100" s="3" t="s">
        <v>8</v>
      </c>
      <c r="D100" s="3">
        <v>1.0</v>
      </c>
      <c r="E100" s="3">
        <v>0.6299923</v>
      </c>
      <c r="F100" s="4">
        <f t="shared" si="3"/>
        <v>0</v>
      </c>
      <c r="G100" s="4">
        <f t="shared" si="4"/>
        <v>1</v>
      </c>
      <c r="H100" s="3" t="s">
        <v>21</v>
      </c>
    </row>
    <row r="101">
      <c r="A101" s="3" t="s">
        <v>60</v>
      </c>
      <c r="B101" s="3" t="s">
        <v>13</v>
      </c>
      <c r="C101" s="3" t="s">
        <v>8</v>
      </c>
      <c r="D101" s="7">
        <v>0.0</v>
      </c>
      <c r="E101" s="3">
        <v>0.5309778</v>
      </c>
      <c r="F101" s="4">
        <f t="shared" si="3"/>
        <v>0</v>
      </c>
      <c r="G101" s="8">
        <f t="shared" si="4"/>
        <v>0</v>
      </c>
      <c r="H101" s="3" t="s">
        <v>21</v>
      </c>
    </row>
    <row r="102">
      <c r="A102" s="3" t="s">
        <v>44</v>
      </c>
      <c r="B102" s="3" t="s">
        <v>13</v>
      </c>
      <c r="C102" s="3" t="s">
        <v>8</v>
      </c>
      <c r="D102" s="7">
        <v>0.0</v>
      </c>
      <c r="E102" s="3">
        <v>0.9612749</v>
      </c>
      <c r="F102" s="4">
        <f t="shared" si="3"/>
        <v>0</v>
      </c>
      <c r="G102" s="8">
        <f t="shared" si="4"/>
        <v>0</v>
      </c>
      <c r="H102" s="3" t="s">
        <v>21</v>
      </c>
    </row>
    <row r="105">
      <c r="D105" s="3" t="s">
        <v>96</v>
      </c>
      <c r="F105" s="3" t="s">
        <v>97</v>
      </c>
      <c r="G105" s="3" t="s">
        <v>98</v>
      </c>
    </row>
    <row r="106">
      <c r="D106" s="3" t="s">
        <v>99</v>
      </c>
      <c r="F106" s="3" t="s">
        <v>100</v>
      </c>
      <c r="G106" s="3" t="s">
        <v>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</row>
    <row r="2">
      <c r="A2" s="3" t="s">
        <v>7</v>
      </c>
      <c r="B2" s="3" t="s">
        <v>8</v>
      </c>
      <c r="C2" s="10" t="s">
        <v>8</v>
      </c>
      <c r="D2" s="11">
        <v>1.0</v>
      </c>
      <c r="E2" s="11">
        <v>1.196527</v>
      </c>
      <c r="F2" s="4">
        <f t="shared" ref="F2:F51" si="1">IF(OR(E2 &lt; 0.2, E2 &gt; 5), 1, 0)</f>
        <v>0</v>
      </c>
      <c r="G2" s="4">
        <f t="shared" ref="G2:G51" si="2">IF(AND(D2=1, F2=0), 1, 0)</f>
        <v>1</v>
      </c>
      <c r="H2" s="3" t="s">
        <v>9</v>
      </c>
    </row>
    <row r="3">
      <c r="A3" s="3" t="s">
        <v>10</v>
      </c>
      <c r="B3" s="3" t="s">
        <v>8</v>
      </c>
      <c r="C3" s="10" t="s">
        <v>8</v>
      </c>
      <c r="D3" s="11">
        <v>1.0</v>
      </c>
      <c r="E3" s="11">
        <v>2.4843973</v>
      </c>
      <c r="F3" s="4">
        <f t="shared" si="1"/>
        <v>0</v>
      </c>
      <c r="G3" s="4">
        <f t="shared" si="2"/>
        <v>1</v>
      </c>
      <c r="H3" s="3" t="s">
        <v>9</v>
      </c>
    </row>
    <row r="4">
      <c r="A4" s="3" t="s">
        <v>11</v>
      </c>
      <c r="B4" s="3" t="s">
        <v>8</v>
      </c>
      <c r="C4" s="10" t="s">
        <v>8</v>
      </c>
      <c r="D4" s="11">
        <v>1.0</v>
      </c>
      <c r="E4" s="11">
        <v>0.9326641</v>
      </c>
      <c r="F4" s="4">
        <f t="shared" si="1"/>
        <v>0</v>
      </c>
      <c r="G4" s="4">
        <f t="shared" si="2"/>
        <v>1</v>
      </c>
      <c r="H4" s="3" t="s">
        <v>9</v>
      </c>
    </row>
    <row r="5">
      <c r="A5" s="3" t="s">
        <v>12</v>
      </c>
      <c r="B5" s="3" t="s">
        <v>13</v>
      </c>
      <c r="C5" s="10" t="s">
        <v>8</v>
      </c>
      <c r="D5" s="11">
        <v>1.0</v>
      </c>
      <c r="E5" s="11">
        <v>1.2525138</v>
      </c>
      <c r="F5" s="4">
        <f t="shared" si="1"/>
        <v>0</v>
      </c>
      <c r="G5" s="4">
        <f t="shared" si="2"/>
        <v>1</v>
      </c>
      <c r="H5" s="3" t="s">
        <v>9</v>
      </c>
    </row>
    <row r="6">
      <c r="A6" s="3" t="s">
        <v>14</v>
      </c>
      <c r="B6" s="3" t="s">
        <v>13</v>
      </c>
      <c r="C6" s="10" t="s">
        <v>8</v>
      </c>
      <c r="D6" s="11">
        <v>1.0</v>
      </c>
      <c r="E6" s="11">
        <v>0.7423869</v>
      </c>
      <c r="F6" s="4">
        <f t="shared" si="1"/>
        <v>0</v>
      </c>
      <c r="G6" s="4">
        <f t="shared" si="2"/>
        <v>1</v>
      </c>
      <c r="H6" s="3" t="s">
        <v>9</v>
      </c>
    </row>
    <row r="7">
      <c r="A7" s="3" t="s">
        <v>15</v>
      </c>
      <c r="B7" s="3" t="s">
        <v>8</v>
      </c>
      <c r="C7" s="10" t="s">
        <v>13</v>
      </c>
      <c r="D7" s="11">
        <v>1.0</v>
      </c>
      <c r="E7" s="11">
        <v>1.4692028</v>
      </c>
      <c r="F7" s="4">
        <f t="shared" si="1"/>
        <v>0</v>
      </c>
      <c r="G7" s="4">
        <f t="shared" si="2"/>
        <v>1</v>
      </c>
      <c r="H7" s="3" t="s">
        <v>9</v>
      </c>
      <c r="J7" s="5" t="s">
        <v>20</v>
      </c>
      <c r="K7" s="6"/>
      <c r="L7" s="6"/>
      <c r="M7" s="6"/>
      <c r="N7" s="5" t="s">
        <v>21</v>
      </c>
      <c r="O7" s="6"/>
      <c r="P7" s="6"/>
    </row>
    <row r="8">
      <c r="A8" s="3" t="s">
        <v>16</v>
      </c>
      <c r="B8" s="3" t="s">
        <v>13</v>
      </c>
      <c r="C8" s="10" t="s">
        <v>13</v>
      </c>
      <c r="D8" s="11">
        <v>1.0</v>
      </c>
      <c r="E8" s="11">
        <v>0.7000762</v>
      </c>
      <c r="F8" s="4">
        <f t="shared" si="1"/>
        <v>0</v>
      </c>
      <c r="G8" s="4">
        <f t="shared" si="2"/>
        <v>1</v>
      </c>
      <c r="H8" s="3" t="s">
        <v>9</v>
      </c>
      <c r="J8" s="5" t="s">
        <v>23</v>
      </c>
      <c r="K8" s="6">
        <f>IFERROR(__xludf.DUMMYFUNCTION("MEDIAN(FILTER(E:E, H:H=""congruent"", G:G=1))
"),0.87858915)</f>
        <v>0.87858915</v>
      </c>
      <c r="L8" s="6"/>
      <c r="M8" s="6"/>
      <c r="N8" s="5" t="s">
        <v>23</v>
      </c>
      <c r="O8" s="6">
        <f>IFERROR(__xludf.DUMMYFUNCTION("MEDIAN(FILTER(E:E, H:H=""incongruent"", G:G=1))
"),0.9442135)</f>
        <v>0.9442135</v>
      </c>
      <c r="P8" s="6"/>
    </row>
    <row r="9">
      <c r="A9" s="3" t="s">
        <v>17</v>
      </c>
      <c r="B9" s="3" t="s">
        <v>13</v>
      </c>
      <c r="C9" s="10" t="s">
        <v>8</v>
      </c>
      <c r="D9" s="11">
        <v>1.0</v>
      </c>
      <c r="E9" s="11">
        <v>1.1814192</v>
      </c>
      <c r="F9" s="4">
        <f t="shared" si="1"/>
        <v>0</v>
      </c>
      <c r="G9" s="4">
        <f t="shared" si="2"/>
        <v>1</v>
      </c>
      <c r="H9" s="3" t="s">
        <v>9</v>
      </c>
      <c r="J9" s="6"/>
      <c r="K9" s="6"/>
      <c r="L9" s="6"/>
      <c r="M9" s="6"/>
      <c r="N9" s="6"/>
      <c r="O9" s="6"/>
      <c r="P9" s="6"/>
    </row>
    <row r="10">
      <c r="A10" s="3" t="s">
        <v>18</v>
      </c>
      <c r="B10" s="3" t="s">
        <v>13</v>
      </c>
      <c r="C10" s="10" t="s">
        <v>8</v>
      </c>
      <c r="D10" s="11">
        <v>1.0</v>
      </c>
      <c r="E10" s="11">
        <v>0.6178943</v>
      </c>
      <c r="F10" s="4">
        <f t="shared" si="1"/>
        <v>0</v>
      </c>
      <c r="G10" s="4">
        <f t="shared" si="2"/>
        <v>1</v>
      </c>
      <c r="H10" s="3" t="s">
        <v>9</v>
      </c>
      <c r="J10" s="5" t="s">
        <v>26</v>
      </c>
      <c r="K10" s="6"/>
      <c r="L10" s="6">
        <f>IFERROR(__xludf.DUMMYFUNCTION("AVERAGE(FILTER(D:D, H:H=""congruent""))*100
"),96.0)</f>
        <v>96</v>
      </c>
      <c r="M10" s="6"/>
      <c r="N10" s="5" t="s">
        <v>27</v>
      </c>
      <c r="O10" s="6"/>
      <c r="P10" s="6">
        <f>IFERROR(__xludf.DUMMYFUNCTION("AVERAGE(FILTER(D:D, H:H=""incongruent""))*100
"),68.0)</f>
        <v>68</v>
      </c>
    </row>
    <row r="11">
      <c r="A11" s="3" t="s">
        <v>19</v>
      </c>
      <c r="B11" s="3" t="s">
        <v>8</v>
      </c>
      <c r="C11" s="10" t="s">
        <v>13</v>
      </c>
      <c r="D11" s="12">
        <v>0.0</v>
      </c>
      <c r="E11" s="11">
        <v>1.2952033</v>
      </c>
      <c r="F11" s="4">
        <f t="shared" si="1"/>
        <v>0</v>
      </c>
      <c r="G11" s="13">
        <f t="shared" si="2"/>
        <v>0</v>
      </c>
      <c r="H11" s="3" t="s">
        <v>9</v>
      </c>
    </row>
    <row r="12">
      <c r="A12" s="3" t="s">
        <v>22</v>
      </c>
      <c r="B12" s="3" t="s">
        <v>13</v>
      </c>
      <c r="C12" s="10" t="s">
        <v>13</v>
      </c>
      <c r="D12" s="11">
        <v>1.0</v>
      </c>
      <c r="E12" s="11">
        <v>1.332389</v>
      </c>
      <c r="F12" s="4">
        <f t="shared" si="1"/>
        <v>0</v>
      </c>
      <c r="G12" s="4">
        <f t="shared" si="2"/>
        <v>1</v>
      </c>
      <c r="H12" s="3" t="s">
        <v>9</v>
      </c>
    </row>
    <row r="13">
      <c r="A13" s="3" t="s">
        <v>24</v>
      </c>
      <c r="B13" s="3" t="s">
        <v>8</v>
      </c>
      <c r="C13" s="10" t="s">
        <v>13</v>
      </c>
      <c r="D13" s="11">
        <v>1.0</v>
      </c>
      <c r="E13" s="11">
        <v>3.0763309</v>
      </c>
      <c r="F13" s="4">
        <f t="shared" si="1"/>
        <v>0</v>
      </c>
      <c r="G13" s="4">
        <f t="shared" si="2"/>
        <v>1</v>
      </c>
      <c r="H13" s="3" t="s">
        <v>9</v>
      </c>
      <c r="L13" s="3" t="s">
        <v>31</v>
      </c>
      <c r="M13" s="4">
        <f>O8-K8</f>
        <v>0.06562435</v>
      </c>
    </row>
    <row r="14">
      <c r="A14" s="3" t="s">
        <v>25</v>
      </c>
      <c r="B14" s="3" t="s">
        <v>8</v>
      </c>
      <c r="C14" s="10" t="s">
        <v>13</v>
      </c>
      <c r="D14" s="11">
        <v>1.0</v>
      </c>
      <c r="E14" s="11">
        <v>0.6063661</v>
      </c>
      <c r="F14" s="4">
        <f t="shared" si="1"/>
        <v>0</v>
      </c>
      <c r="G14" s="4">
        <f t="shared" si="2"/>
        <v>1</v>
      </c>
      <c r="H14" s="3" t="s">
        <v>9</v>
      </c>
    </row>
    <row r="15">
      <c r="A15" s="3" t="s">
        <v>28</v>
      </c>
      <c r="B15" s="3" t="s">
        <v>13</v>
      </c>
      <c r="C15" s="10" t="s">
        <v>8</v>
      </c>
      <c r="D15" s="11">
        <v>1.0</v>
      </c>
      <c r="E15" s="11">
        <v>0.8369489</v>
      </c>
      <c r="F15" s="4">
        <f t="shared" si="1"/>
        <v>0</v>
      </c>
      <c r="G15" s="4">
        <f t="shared" si="2"/>
        <v>1</v>
      </c>
      <c r="H15" s="3" t="s">
        <v>9</v>
      </c>
    </row>
    <row r="16">
      <c r="A16" s="3" t="s">
        <v>29</v>
      </c>
      <c r="B16" s="3" t="s">
        <v>13</v>
      </c>
      <c r="C16" s="10" t="s">
        <v>13</v>
      </c>
      <c r="D16" s="11">
        <v>1.0</v>
      </c>
      <c r="E16" s="11">
        <v>0.6391059</v>
      </c>
      <c r="F16" s="4">
        <f t="shared" si="1"/>
        <v>0</v>
      </c>
      <c r="G16" s="4">
        <f t="shared" si="2"/>
        <v>1</v>
      </c>
      <c r="H16" s="3" t="s">
        <v>9</v>
      </c>
    </row>
    <row r="17">
      <c r="A17" s="3" t="s">
        <v>30</v>
      </c>
      <c r="B17" s="3" t="s">
        <v>8</v>
      </c>
      <c r="C17" s="10" t="s">
        <v>13</v>
      </c>
      <c r="D17" s="11">
        <v>1.0</v>
      </c>
      <c r="E17" s="11">
        <v>0.6216824</v>
      </c>
      <c r="F17" s="4">
        <f t="shared" si="1"/>
        <v>0</v>
      </c>
      <c r="G17" s="4">
        <f t="shared" si="2"/>
        <v>1</v>
      </c>
      <c r="H17" s="3" t="s">
        <v>9</v>
      </c>
    </row>
    <row r="18">
      <c r="A18" s="3" t="s">
        <v>32</v>
      </c>
      <c r="B18" s="3" t="s">
        <v>13</v>
      </c>
      <c r="C18" s="10" t="s">
        <v>13</v>
      </c>
      <c r="D18" s="11">
        <v>1.0</v>
      </c>
      <c r="E18" s="11">
        <v>0.9499728</v>
      </c>
      <c r="F18" s="4">
        <f t="shared" si="1"/>
        <v>0</v>
      </c>
      <c r="G18" s="4">
        <f t="shared" si="2"/>
        <v>1</v>
      </c>
      <c r="H18" s="3" t="s">
        <v>9</v>
      </c>
    </row>
    <row r="19">
      <c r="A19" s="3" t="s">
        <v>33</v>
      </c>
      <c r="B19" s="3" t="s">
        <v>8</v>
      </c>
      <c r="C19" s="10" t="s">
        <v>13</v>
      </c>
      <c r="D19" s="11">
        <v>1.0</v>
      </c>
      <c r="E19" s="11">
        <v>0.6684985</v>
      </c>
      <c r="F19" s="4">
        <f t="shared" si="1"/>
        <v>0</v>
      </c>
      <c r="G19" s="4">
        <f t="shared" si="2"/>
        <v>1</v>
      </c>
      <c r="H19" s="3" t="s">
        <v>9</v>
      </c>
    </row>
    <row r="20">
      <c r="A20" s="3" t="s">
        <v>34</v>
      </c>
      <c r="B20" s="3" t="s">
        <v>8</v>
      </c>
      <c r="C20" s="10" t="s">
        <v>8</v>
      </c>
      <c r="D20" s="11">
        <v>1.0</v>
      </c>
      <c r="E20" s="11">
        <v>0.7645398</v>
      </c>
      <c r="F20" s="4">
        <f t="shared" si="1"/>
        <v>0</v>
      </c>
      <c r="G20" s="4">
        <f t="shared" si="2"/>
        <v>1</v>
      </c>
      <c r="H20" s="3" t="s">
        <v>9</v>
      </c>
    </row>
    <row r="21">
      <c r="A21" s="3" t="s">
        <v>35</v>
      </c>
      <c r="B21" s="3" t="s">
        <v>13</v>
      </c>
      <c r="C21" s="10" t="s">
        <v>13</v>
      </c>
      <c r="D21" s="11">
        <v>1.0</v>
      </c>
      <c r="E21" s="11">
        <v>1.0167743</v>
      </c>
      <c r="F21" s="4">
        <f t="shared" si="1"/>
        <v>0</v>
      </c>
      <c r="G21" s="4">
        <f t="shared" si="2"/>
        <v>1</v>
      </c>
      <c r="H21" s="3" t="s">
        <v>9</v>
      </c>
    </row>
    <row r="22">
      <c r="A22" s="3" t="s">
        <v>36</v>
      </c>
      <c r="B22" s="3" t="s">
        <v>13</v>
      </c>
      <c r="C22" s="10" t="s">
        <v>8</v>
      </c>
      <c r="D22" s="11">
        <v>1.0</v>
      </c>
      <c r="E22" s="11">
        <v>2.8125271</v>
      </c>
      <c r="F22" s="4">
        <f t="shared" si="1"/>
        <v>0</v>
      </c>
      <c r="G22" s="4">
        <f t="shared" si="2"/>
        <v>1</v>
      </c>
      <c r="H22" s="3" t="s">
        <v>9</v>
      </c>
    </row>
    <row r="23">
      <c r="A23" s="3" t="s">
        <v>37</v>
      </c>
      <c r="B23" s="3" t="s">
        <v>13</v>
      </c>
      <c r="C23" s="10" t="s">
        <v>8</v>
      </c>
      <c r="D23" s="11">
        <v>1.0</v>
      </c>
      <c r="E23" s="11">
        <v>0.6082147</v>
      </c>
      <c r="F23" s="4">
        <f t="shared" si="1"/>
        <v>0</v>
      </c>
      <c r="G23" s="4">
        <f t="shared" si="2"/>
        <v>1</v>
      </c>
      <c r="H23" s="3" t="s">
        <v>9</v>
      </c>
    </row>
    <row r="24">
      <c r="A24" s="3" t="s">
        <v>38</v>
      </c>
      <c r="B24" s="3" t="s">
        <v>13</v>
      </c>
      <c r="C24" s="10" t="s">
        <v>13</v>
      </c>
      <c r="D24" s="11">
        <v>1.0</v>
      </c>
      <c r="E24" s="11">
        <v>0.7275599</v>
      </c>
      <c r="F24" s="4">
        <f t="shared" si="1"/>
        <v>0</v>
      </c>
      <c r="G24" s="4">
        <f t="shared" si="2"/>
        <v>1</v>
      </c>
      <c r="H24" s="3" t="s">
        <v>9</v>
      </c>
    </row>
    <row r="25">
      <c r="A25" s="3" t="s">
        <v>39</v>
      </c>
      <c r="B25" s="3" t="s">
        <v>13</v>
      </c>
      <c r="C25" s="10" t="s">
        <v>13</v>
      </c>
      <c r="D25" s="11">
        <v>1.0</v>
      </c>
      <c r="E25" s="11">
        <v>1.1613052</v>
      </c>
      <c r="F25" s="4">
        <f t="shared" si="1"/>
        <v>0</v>
      </c>
      <c r="G25" s="4">
        <f t="shared" si="2"/>
        <v>1</v>
      </c>
      <c r="H25" s="3" t="s">
        <v>9</v>
      </c>
    </row>
    <row r="26">
      <c r="A26" s="3" t="s">
        <v>40</v>
      </c>
      <c r="B26" s="3" t="s">
        <v>13</v>
      </c>
      <c r="C26" s="10" t="s">
        <v>8</v>
      </c>
      <c r="D26" s="11">
        <v>1.0</v>
      </c>
      <c r="E26" s="11">
        <v>3.6915315</v>
      </c>
      <c r="F26" s="4">
        <f t="shared" si="1"/>
        <v>0</v>
      </c>
      <c r="G26" s="4">
        <f t="shared" si="2"/>
        <v>1</v>
      </c>
      <c r="H26" s="3" t="s">
        <v>9</v>
      </c>
    </row>
    <row r="27">
      <c r="A27" s="3" t="s">
        <v>41</v>
      </c>
      <c r="B27" s="3" t="s">
        <v>13</v>
      </c>
      <c r="C27" s="10" t="s">
        <v>8</v>
      </c>
      <c r="D27" s="11">
        <v>1.0</v>
      </c>
      <c r="E27" s="11">
        <v>0.5356284</v>
      </c>
      <c r="F27" s="4">
        <f t="shared" si="1"/>
        <v>0</v>
      </c>
      <c r="G27" s="4">
        <f t="shared" si="2"/>
        <v>1</v>
      </c>
      <c r="H27" s="3" t="s">
        <v>9</v>
      </c>
    </row>
    <row r="28">
      <c r="A28" s="3" t="s">
        <v>42</v>
      </c>
      <c r="B28" s="3" t="s">
        <v>13</v>
      </c>
      <c r="C28" s="10" t="s">
        <v>13</v>
      </c>
      <c r="D28" s="11">
        <v>1.0</v>
      </c>
      <c r="E28" s="11">
        <v>0.6017807</v>
      </c>
      <c r="F28" s="4">
        <f t="shared" si="1"/>
        <v>0</v>
      </c>
      <c r="G28" s="4">
        <f t="shared" si="2"/>
        <v>1</v>
      </c>
      <c r="H28" s="3" t="s">
        <v>9</v>
      </c>
    </row>
    <row r="29">
      <c r="A29" s="3" t="s">
        <v>43</v>
      </c>
      <c r="B29" s="3" t="s">
        <v>8</v>
      </c>
      <c r="C29" s="10" t="s">
        <v>13</v>
      </c>
      <c r="D29" s="11">
        <v>1.0</v>
      </c>
      <c r="E29" s="11">
        <v>2.0961554</v>
      </c>
      <c r="F29" s="4">
        <f t="shared" si="1"/>
        <v>0</v>
      </c>
      <c r="G29" s="4">
        <f t="shared" si="2"/>
        <v>1</v>
      </c>
      <c r="H29" s="3" t="s">
        <v>9</v>
      </c>
    </row>
    <row r="30">
      <c r="A30" s="3" t="s">
        <v>44</v>
      </c>
      <c r="B30" s="3" t="s">
        <v>8</v>
      </c>
      <c r="C30" s="10" t="s">
        <v>13</v>
      </c>
      <c r="D30" s="11">
        <v>1.0</v>
      </c>
      <c r="E30" s="11">
        <v>0.6115099</v>
      </c>
      <c r="F30" s="4">
        <f t="shared" si="1"/>
        <v>0</v>
      </c>
      <c r="G30" s="4">
        <f t="shared" si="2"/>
        <v>1</v>
      </c>
      <c r="H30" s="3" t="s">
        <v>9</v>
      </c>
    </row>
    <row r="31">
      <c r="A31" s="3" t="s">
        <v>45</v>
      </c>
      <c r="B31" s="3" t="s">
        <v>13</v>
      </c>
      <c r="C31" s="10" t="s">
        <v>13</v>
      </c>
      <c r="D31" s="11">
        <v>1.0</v>
      </c>
      <c r="E31" s="11">
        <v>0.4496037</v>
      </c>
      <c r="F31" s="4">
        <f t="shared" si="1"/>
        <v>0</v>
      </c>
      <c r="G31" s="4">
        <f t="shared" si="2"/>
        <v>1</v>
      </c>
      <c r="H31" s="3" t="s">
        <v>9</v>
      </c>
    </row>
    <row r="32">
      <c r="A32" s="3" t="s">
        <v>46</v>
      </c>
      <c r="B32" s="3" t="s">
        <v>13</v>
      </c>
      <c r="C32" s="10" t="s">
        <v>13</v>
      </c>
      <c r="D32" s="11">
        <v>1.0</v>
      </c>
      <c r="E32" s="11">
        <v>0.5202156</v>
      </c>
      <c r="F32" s="4">
        <f t="shared" si="1"/>
        <v>0</v>
      </c>
      <c r="G32" s="4">
        <f t="shared" si="2"/>
        <v>1</v>
      </c>
      <c r="H32" s="3" t="s">
        <v>9</v>
      </c>
    </row>
    <row r="33">
      <c r="A33" s="3" t="s">
        <v>47</v>
      </c>
      <c r="B33" s="3" t="s">
        <v>8</v>
      </c>
      <c r="C33" s="10" t="s">
        <v>8</v>
      </c>
      <c r="D33" s="11">
        <v>1.0</v>
      </c>
      <c r="E33" s="11">
        <v>0.7730304</v>
      </c>
      <c r="F33" s="4">
        <f t="shared" si="1"/>
        <v>0</v>
      </c>
      <c r="G33" s="4">
        <f t="shared" si="2"/>
        <v>1</v>
      </c>
      <c r="H33" s="3" t="s">
        <v>9</v>
      </c>
    </row>
    <row r="34">
      <c r="A34" s="3" t="s">
        <v>48</v>
      </c>
      <c r="B34" s="3" t="s">
        <v>8</v>
      </c>
      <c r="C34" s="10" t="s">
        <v>8</v>
      </c>
      <c r="D34" s="11">
        <v>1.0</v>
      </c>
      <c r="E34" s="11">
        <v>0.780243</v>
      </c>
      <c r="F34" s="4">
        <f t="shared" si="1"/>
        <v>0</v>
      </c>
      <c r="G34" s="4">
        <f t="shared" si="2"/>
        <v>1</v>
      </c>
      <c r="H34" s="3" t="s">
        <v>9</v>
      </c>
    </row>
    <row r="35">
      <c r="A35" s="3" t="s">
        <v>49</v>
      </c>
      <c r="B35" s="3" t="s">
        <v>13</v>
      </c>
      <c r="C35" s="10" t="s">
        <v>13</v>
      </c>
      <c r="D35" s="11">
        <v>1.0</v>
      </c>
      <c r="E35" s="11">
        <v>0.9202294</v>
      </c>
      <c r="F35" s="4">
        <f t="shared" si="1"/>
        <v>0</v>
      </c>
      <c r="G35" s="4">
        <f t="shared" si="2"/>
        <v>1</v>
      </c>
      <c r="H35" s="3" t="s">
        <v>9</v>
      </c>
    </row>
    <row r="36">
      <c r="A36" s="3" t="s">
        <v>50</v>
      </c>
      <c r="B36" s="3" t="s">
        <v>13</v>
      </c>
      <c r="C36" s="10" t="s">
        <v>13</v>
      </c>
      <c r="D36" s="11">
        <v>1.0</v>
      </c>
      <c r="E36" s="11">
        <v>0.7441492</v>
      </c>
      <c r="F36" s="4">
        <f t="shared" si="1"/>
        <v>0</v>
      </c>
      <c r="G36" s="4">
        <f t="shared" si="2"/>
        <v>1</v>
      </c>
      <c r="H36" s="3" t="s">
        <v>9</v>
      </c>
    </row>
    <row r="37">
      <c r="A37" s="3" t="s">
        <v>51</v>
      </c>
      <c r="B37" s="3" t="s">
        <v>8</v>
      </c>
      <c r="C37" s="10" t="s">
        <v>13</v>
      </c>
      <c r="D37" s="11">
        <v>1.0</v>
      </c>
      <c r="E37" s="11">
        <v>0.6529377</v>
      </c>
      <c r="F37" s="4">
        <f t="shared" si="1"/>
        <v>0</v>
      </c>
      <c r="G37" s="4">
        <f t="shared" si="2"/>
        <v>1</v>
      </c>
      <c r="H37" s="3" t="s">
        <v>9</v>
      </c>
    </row>
    <row r="38">
      <c r="A38" s="3" t="s">
        <v>52</v>
      </c>
      <c r="B38" s="3" t="s">
        <v>8</v>
      </c>
      <c r="C38" s="10" t="s">
        <v>13</v>
      </c>
      <c r="D38" s="12">
        <v>0.0</v>
      </c>
      <c r="E38" s="11">
        <v>0.6739586</v>
      </c>
      <c r="F38" s="4">
        <f t="shared" si="1"/>
        <v>0</v>
      </c>
      <c r="G38" s="13">
        <f t="shared" si="2"/>
        <v>0</v>
      </c>
      <c r="H38" s="3" t="s">
        <v>9</v>
      </c>
    </row>
    <row r="39">
      <c r="A39" s="3" t="s">
        <v>53</v>
      </c>
      <c r="B39" s="3" t="s">
        <v>8</v>
      </c>
      <c r="C39" s="10" t="s">
        <v>13</v>
      </c>
      <c r="D39" s="11">
        <v>1.0</v>
      </c>
      <c r="E39" s="11">
        <v>1.6197084</v>
      </c>
      <c r="F39" s="4">
        <f t="shared" si="1"/>
        <v>0</v>
      </c>
      <c r="G39" s="4">
        <f t="shared" si="2"/>
        <v>1</v>
      </c>
      <c r="H39" s="3" t="s">
        <v>9</v>
      </c>
    </row>
    <row r="40">
      <c r="A40" s="3" t="s">
        <v>54</v>
      </c>
      <c r="B40" s="3" t="s">
        <v>13</v>
      </c>
      <c r="C40" s="10" t="s">
        <v>8</v>
      </c>
      <c r="D40" s="11">
        <v>1.0</v>
      </c>
      <c r="E40" s="11">
        <v>0.7163019</v>
      </c>
      <c r="F40" s="4">
        <f t="shared" si="1"/>
        <v>0</v>
      </c>
      <c r="G40" s="4">
        <f t="shared" si="2"/>
        <v>1</v>
      </c>
      <c r="H40" s="3" t="s">
        <v>9</v>
      </c>
    </row>
    <row r="41">
      <c r="A41" s="3" t="s">
        <v>55</v>
      </c>
      <c r="B41" s="3" t="s">
        <v>8</v>
      </c>
      <c r="C41" s="10" t="s">
        <v>13</v>
      </c>
      <c r="D41" s="11">
        <v>1.0</v>
      </c>
      <c r="E41" s="11">
        <v>1.5738126</v>
      </c>
      <c r="F41" s="4">
        <f t="shared" si="1"/>
        <v>0</v>
      </c>
      <c r="G41" s="4">
        <f t="shared" si="2"/>
        <v>1</v>
      </c>
      <c r="H41" s="3" t="s">
        <v>9</v>
      </c>
    </row>
    <row r="42">
      <c r="A42" s="3" t="s">
        <v>56</v>
      </c>
      <c r="B42" s="3" t="s">
        <v>13</v>
      </c>
      <c r="C42" s="10" t="s">
        <v>8</v>
      </c>
      <c r="D42" s="11">
        <v>1.0</v>
      </c>
      <c r="E42" s="11">
        <v>0.7617262</v>
      </c>
      <c r="F42" s="4">
        <f t="shared" si="1"/>
        <v>0</v>
      </c>
      <c r="G42" s="4">
        <f t="shared" si="2"/>
        <v>1</v>
      </c>
      <c r="H42" s="3" t="s">
        <v>9</v>
      </c>
    </row>
    <row r="43">
      <c r="A43" s="3" t="s">
        <v>57</v>
      </c>
      <c r="B43" s="3" t="s">
        <v>8</v>
      </c>
      <c r="C43" s="10" t="s">
        <v>13</v>
      </c>
      <c r="D43" s="11">
        <v>1.0</v>
      </c>
      <c r="E43" s="11">
        <v>1.0288747</v>
      </c>
      <c r="F43" s="4">
        <f t="shared" si="1"/>
        <v>0</v>
      </c>
      <c r="G43" s="4">
        <f t="shared" si="2"/>
        <v>1</v>
      </c>
      <c r="H43" s="3" t="s">
        <v>9</v>
      </c>
    </row>
    <row r="44">
      <c r="A44" s="3" t="s">
        <v>58</v>
      </c>
      <c r="B44" s="3" t="s">
        <v>8</v>
      </c>
      <c r="C44" s="10" t="s">
        <v>8</v>
      </c>
      <c r="D44" s="11">
        <v>1.0</v>
      </c>
      <c r="E44" s="11">
        <v>1.6097391</v>
      </c>
      <c r="F44" s="4">
        <f t="shared" si="1"/>
        <v>0</v>
      </c>
      <c r="G44" s="4">
        <f t="shared" si="2"/>
        <v>1</v>
      </c>
      <c r="H44" s="3" t="s">
        <v>9</v>
      </c>
    </row>
    <row r="45">
      <c r="A45" s="3" t="s">
        <v>59</v>
      </c>
      <c r="B45" s="3" t="s">
        <v>8</v>
      </c>
      <c r="C45" s="10" t="s">
        <v>13</v>
      </c>
      <c r="D45" s="11">
        <v>1.0</v>
      </c>
      <c r="E45" s="11">
        <v>0.9604659</v>
      </c>
      <c r="F45" s="4">
        <f t="shared" si="1"/>
        <v>0</v>
      </c>
      <c r="G45" s="4">
        <f t="shared" si="2"/>
        <v>1</v>
      </c>
      <c r="H45" s="3" t="s">
        <v>9</v>
      </c>
    </row>
    <row r="46">
      <c r="A46" s="3" t="s">
        <v>60</v>
      </c>
      <c r="B46" s="3" t="s">
        <v>8</v>
      </c>
      <c r="C46" s="10" t="s">
        <v>8</v>
      </c>
      <c r="D46" s="11">
        <v>1.0</v>
      </c>
      <c r="E46" s="11">
        <v>2.581629</v>
      </c>
      <c r="F46" s="4">
        <f t="shared" si="1"/>
        <v>0</v>
      </c>
      <c r="G46" s="4">
        <f t="shared" si="2"/>
        <v>1</v>
      </c>
      <c r="H46" s="3" t="s">
        <v>9</v>
      </c>
    </row>
    <row r="47">
      <c r="A47" s="3" t="s">
        <v>61</v>
      </c>
      <c r="B47" s="3" t="s">
        <v>8</v>
      </c>
      <c r="C47" s="10" t="s">
        <v>8</v>
      </c>
      <c r="D47" s="11">
        <v>1.0</v>
      </c>
      <c r="E47" s="11">
        <v>1.9628543</v>
      </c>
      <c r="F47" s="4">
        <f t="shared" si="1"/>
        <v>0</v>
      </c>
      <c r="G47" s="4">
        <f t="shared" si="2"/>
        <v>1</v>
      </c>
      <c r="H47" s="3" t="s">
        <v>9</v>
      </c>
    </row>
    <row r="48">
      <c r="A48" s="3" t="s">
        <v>62</v>
      </c>
      <c r="B48" s="3" t="s">
        <v>8</v>
      </c>
      <c r="C48" s="10" t="s">
        <v>8</v>
      </c>
      <c r="D48" s="11">
        <v>1.0</v>
      </c>
      <c r="E48" s="11">
        <v>0.668868</v>
      </c>
      <c r="F48" s="4">
        <f t="shared" si="1"/>
        <v>0</v>
      </c>
      <c r="G48" s="4">
        <f t="shared" si="2"/>
        <v>1</v>
      </c>
      <c r="H48" s="3" t="s">
        <v>9</v>
      </c>
    </row>
    <row r="49">
      <c r="A49" s="3" t="s">
        <v>63</v>
      </c>
      <c r="B49" s="3" t="s">
        <v>8</v>
      </c>
      <c r="C49" s="10" t="s">
        <v>8</v>
      </c>
      <c r="D49" s="11">
        <v>1.0</v>
      </c>
      <c r="E49" s="11">
        <v>0.9481177</v>
      </c>
      <c r="F49" s="4">
        <f t="shared" si="1"/>
        <v>0</v>
      </c>
      <c r="G49" s="4">
        <f t="shared" si="2"/>
        <v>1</v>
      </c>
      <c r="H49" s="3" t="s">
        <v>9</v>
      </c>
    </row>
    <row r="50">
      <c r="A50" s="3" t="s">
        <v>64</v>
      </c>
      <c r="B50" s="3" t="s">
        <v>13</v>
      </c>
      <c r="C50" s="10" t="s">
        <v>8</v>
      </c>
      <c r="D50" s="11">
        <v>1.0</v>
      </c>
      <c r="E50" s="11">
        <v>1.2357002</v>
      </c>
      <c r="F50" s="4">
        <f t="shared" si="1"/>
        <v>0</v>
      </c>
      <c r="G50" s="4">
        <f t="shared" si="2"/>
        <v>1</v>
      </c>
      <c r="H50" s="3" t="s">
        <v>9</v>
      </c>
    </row>
    <row r="51">
      <c r="A51" s="3" t="s">
        <v>65</v>
      </c>
      <c r="B51" s="3" t="s">
        <v>13</v>
      </c>
      <c r="C51" s="10" t="s">
        <v>13</v>
      </c>
      <c r="D51" s="11">
        <v>1.0</v>
      </c>
      <c r="E51" s="11">
        <v>0.6132923</v>
      </c>
      <c r="F51" s="4">
        <f t="shared" si="1"/>
        <v>0</v>
      </c>
      <c r="G51" s="4">
        <f t="shared" si="2"/>
        <v>1</v>
      </c>
      <c r="H51" s="3" t="s">
        <v>9</v>
      </c>
    </row>
    <row r="53">
      <c r="A53" s="14" t="s">
        <v>66</v>
      </c>
      <c r="B53" s="14" t="s">
        <v>8</v>
      </c>
      <c r="C53" s="10" t="s">
        <v>8</v>
      </c>
      <c r="D53" s="11">
        <v>1.0</v>
      </c>
      <c r="E53" s="11">
        <v>4.670141</v>
      </c>
      <c r="F53" s="4">
        <f t="shared" ref="F53:F102" si="3">IF(OR(E53 &lt; 0.2, E53 &gt; 5), 1, 0)</f>
        <v>0</v>
      </c>
      <c r="G53" s="4">
        <f t="shared" ref="G53:G102" si="4">IF(AND(D53=1, F53=0), 1, 0)</f>
        <v>1</v>
      </c>
      <c r="H53" s="3" t="s">
        <v>21</v>
      </c>
    </row>
    <row r="54">
      <c r="A54" s="14" t="s">
        <v>67</v>
      </c>
      <c r="B54" s="14" t="s">
        <v>8</v>
      </c>
      <c r="C54" s="10" t="s">
        <v>13</v>
      </c>
      <c r="D54" s="12">
        <v>0.0</v>
      </c>
      <c r="E54" s="11">
        <v>1.315664</v>
      </c>
      <c r="F54" s="4">
        <f t="shared" si="3"/>
        <v>0</v>
      </c>
      <c r="G54" s="13">
        <f t="shared" si="4"/>
        <v>0</v>
      </c>
      <c r="H54" s="3" t="s">
        <v>21</v>
      </c>
    </row>
    <row r="55">
      <c r="A55" s="14" t="s">
        <v>68</v>
      </c>
      <c r="B55" s="14" t="s">
        <v>8</v>
      </c>
      <c r="C55" s="10" t="s">
        <v>8</v>
      </c>
      <c r="D55" s="11">
        <f>1</f>
        <v>1</v>
      </c>
      <c r="E55" s="11">
        <v>4.585958</v>
      </c>
      <c r="F55" s="4">
        <f t="shared" si="3"/>
        <v>0</v>
      </c>
      <c r="G55" s="4">
        <f t="shared" si="4"/>
        <v>1</v>
      </c>
      <c r="H55" s="3" t="s">
        <v>21</v>
      </c>
    </row>
    <row r="56">
      <c r="A56" s="14" t="s">
        <v>55</v>
      </c>
      <c r="B56" s="14" t="s">
        <v>13</v>
      </c>
      <c r="C56" s="10" t="s">
        <v>13</v>
      </c>
      <c r="D56" s="11">
        <v>1.0</v>
      </c>
      <c r="E56" s="11">
        <v>1.509095</v>
      </c>
      <c r="F56" s="4">
        <f t="shared" si="3"/>
        <v>0</v>
      </c>
      <c r="G56" s="4">
        <f t="shared" si="4"/>
        <v>1</v>
      </c>
      <c r="H56" s="3" t="s">
        <v>21</v>
      </c>
    </row>
    <row r="57">
      <c r="A57" s="14" t="s">
        <v>69</v>
      </c>
      <c r="B57" s="14" t="s">
        <v>13</v>
      </c>
      <c r="C57" s="10" t="s">
        <v>13</v>
      </c>
      <c r="D57" s="11">
        <f t="shared" ref="D57:D58" si="5">1</f>
        <v>1</v>
      </c>
      <c r="E57" s="11">
        <v>2.110159</v>
      </c>
      <c r="F57" s="4">
        <f t="shared" si="3"/>
        <v>0</v>
      </c>
      <c r="G57" s="4">
        <f t="shared" si="4"/>
        <v>1</v>
      </c>
      <c r="H57" s="3" t="s">
        <v>21</v>
      </c>
    </row>
    <row r="58">
      <c r="A58" s="14" t="s">
        <v>70</v>
      </c>
      <c r="B58" s="14" t="s">
        <v>13</v>
      </c>
      <c r="C58" s="10" t="s">
        <v>13</v>
      </c>
      <c r="D58" s="11">
        <f t="shared" si="5"/>
        <v>1</v>
      </c>
      <c r="E58" s="11">
        <v>0.838371</v>
      </c>
      <c r="F58" s="4">
        <f t="shared" si="3"/>
        <v>0</v>
      </c>
      <c r="G58" s="4">
        <f t="shared" si="4"/>
        <v>1</v>
      </c>
      <c r="H58" s="3" t="s">
        <v>21</v>
      </c>
    </row>
    <row r="59">
      <c r="A59" s="14" t="s">
        <v>71</v>
      </c>
      <c r="B59" s="14" t="s">
        <v>8</v>
      </c>
      <c r="C59" s="10" t="s">
        <v>8</v>
      </c>
      <c r="D59" s="11">
        <v>1.0</v>
      </c>
      <c r="E59" s="11">
        <v>2.533147</v>
      </c>
      <c r="F59" s="4">
        <f t="shared" si="3"/>
        <v>0</v>
      </c>
      <c r="G59" s="4">
        <f t="shared" si="4"/>
        <v>1</v>
      </c>
      <c r="H59" s="3" t="s">
        <v>21</v>
      </c>
    </row>
    <row r="60">
      <c r="A60" s="14" t="s">
        <v>72</v>
      </c>
      <c r="B60" s="14" t="s">
        <v>8</v>
      </c>
      <c r="C60" s="10" t="s">
        <v>13</v>
      </c>
      <c r="D60" s="11">
        <v>1.0</v>
      </c>
      <c r="E60" s="11">
        <v>3.23983</v>
      </c>
      <c r="F60" s="4">
        <f t="shared" si="3"/>
        <v>0</v>
      </c>
      <c r="G60" s="4">
        <f t="shared" si="4"/>
        <v>1</v>
      </c>
      <c r="H60" s="3" t="s">
        <v>21</v>
      </c>
    </row>
    <row r="61">
      <c r="A61" s="14" t="s">
        <v>43</v>
      </c>
      <c r="B61" s="14" t="s">
        <v>13</v>
      </c>
      <c r="C61" s="10" t="s">
        <v>8</v>
      </c>
      <c r="D61" s="11">
        <v>1.0</v>
      </c>
      <c r="E61" s="11">
        <v>0.947943</v>
      </c>
      <c r="F61" s="4">
        <f t="shared" si="3"/>
        <v>0</v>
      </c>
      <c r="G61" s="4">
        <f t="shared" si="4"/>
        <v>1</v>
      </c>
      <c r="H61" s="3" t="s">
        <v>21</v>
      </c>
    </row>
    <row r="62">
      <c r="A62" s="14" t="s">
        <v>73</v>
      </c>
      <c r="B62" s="14" t="s">
        <v>8</v>
      </c>
      <c r="C62" s="10" t="s">
        <v>13</v>
      </c>
      <c r="D62" s="12">
        <v>0.0</v>
      </c>
      <c r="E62" s="11">
        <v>1.253141</v>
      </c>
      <c r="F62" s="4">
        <f t="shared" si="3"/>
        <v>0</v>
      </c>
      <c r="G62" s="13">
        <f t="shared" si="4"/>
        <v>0</v>
      </c>
      <c r="H62" s="3" t="s">
        <v>21</v>
      </c>
    </row>
    <row r="63">
      <c r="A63" s="14" t="s">
        <v>59</v>
      </c>
      <c r="B63" s="14" t="s">
        <v>13</v>
      </c>
      <c r="C63" s="10" t="s">
        <v>8</v>
      </c>
      <c r="D63" s="12">
        <v>0.0</v>
      </c>
      <c r="E63" s="11">
        <v>1.418411</v>
      </c>
      <c r="F63" s="4">
        <f t="shared" si="3"/>
        <v>0</v>
      </c>
      <c r="G63" s="13">
        <f t="shared" si="4"/>
        <v>0</v>
      </c>
      <c r="H63" s="3" t="s">
        <v>21</v>
      </c>
    </row>
    <row r="64">
      <c r="A64" s="14" t="s">
        <v>74</v>
      </c>
      <c r="B64" s="14" t="s">
        <v>8</v>
      </c>
      <c r="C64" s="10" t="s">
        <v>8</v>
      </c>
      <c r="D64" s="11">
        <v>1.0</v>
      </c>
      <c r="E64" s="11">
        <v>0.752989</v>
      </c>
      <c r="F64" s="4">
        <f t="shared" si="3"/>
        <v>0</v>
      </c>
      <c r="G64" s="4">
        <f t="shared" si="4"/>
        <v>1</v>
      </c>
      <c r="H64" s="3" t="s">
        <v>21</v>
      </c>
    </row>
    <row r="65">
      <c r="A65" s="14" t="s">
        <v>51</v>
      </c>
      <c r="B65" s="14" t="s">
        <v>13</v>
      </c>
      <c r="C65" s="10" t="s">
        <v>8</v>
      </c>
      <c r="D65" s="12">
        <v>0.0</v>
      </c>
      <c r="E65" s="11">
        <v>4.426568</v>
      </c>
      <c r="F65" s="4">
        <f t="shared" si="3"/>
        <v>0</v>
      </c>
      <c r="G65" s="13">
        <f t="shared" si="4"/>
        <v>0</v>
      </c>
      <c r="H65" s="3" t="s">
        <v>21</v>
      </c>
    </row>
    <row r="66">
      <c r="A66" s="14" t="s">
        <v>34</v>
      </c>
      <c r="B66" s="14" t="s">
        <v>13</v>
      </c>
      <c r="C66" s="10" t="s">
        <v>8</v>
      </c>
      <c r="D66" s="12">
        <v>0.0</v>
      </c>
      <c r="E66" s="11">
        <v>1.052709</v>
      </c>
      <c r="F66" s="4">
        <f t="shared" si="3"/>
        <v>0</v>
      </c>
      <c r="G66" s="13">
        <f t="shared" si="4"/>
        <v>0</v>
      </c>
      <c r="H66" s="3" t="s">
        <v>21</v>
      </c>
    </row>
    <row r="67">
      <c r="A67" s="14" t="s">
        <v>57</v>
      </c>
      <c r="B67" s="14" t="s">
        <v>13</v>
      </c>
      <c r="C67" s="10" t="s">
        <v>13</v>
      </c>
      <c r="D67" s="11">
        <v>1.0</v>
      </c>
      <c r="E67" s="11">
        <v>1.203064</v>
      </c>
      <c r="F67" s="4">
        <f t="shared" si="3"/>
        <v>0</v>
      </c>
      <c r="G67" s="4">
        <f t="shared" si="4"/>
        <v>1</v>
      </c>
      <c r="H67" s="3" t="s">
        <v>21</v>
      </c>
    </row>
    <row r="68">
      <c r="A68" s="14" t="s">
        <v>75</v>
      </c>
      <c r="B68" s="14" t="s">
        <v>8</v>
      </c>
      <c r="C68" s="10" t="s">
        <v>8</v>
      </c>
      <c r="D68" s="11">
        <v>1.0</v>
      </c>
      <c r="E68" s="11">
        <v>1.083789</v>
      </c>
      <c r="F68" s="4">
        <f t="shared" si="3"/>
        <v>0</v>
      </c>
      <c r="G68" s="4">
        <f t="shared" si="4"/>
        <v>1</v>
      </c>
      <c r="H68" s="3" t="s">
        <v>21</v>
      </c>
    </row>
    <row r="69">
      <c r="A69" s="14" t="s">
        <v>62</v>
      </c>
      <c r="B69" s="14" t="s">
        <v>13</v>
      </c>
      <c r="C69" s="10" t="s">
        <v>8</v>
      </c>
      <c r="D69" s="12">
        <v>0.0</v>
      </c>
      <c r="E69" s="11">
        <v>0.950863</v>
      </c>
      <c r="F69" s="4">
        <f t="shared" si="3"/>
        <v>0</v>
      </c>
      <c r="G69" s="13">
        <f t="shared" si="4"/>
        <v>0</v>
      </c>
      <c r="H69" s="3" t="s">
        <v>21</v>
      </c>
    </row>
    <row r="70">
      <c r="A70" s="14" t="s">
        <v>76</v>
      </c>
      <c r="B70" s="14" t="s">
        <v>8</v>
      </c>
      <c r="C70" s="10" t="s">
        <v>8</v>
      </c>
      <c r="D70" s="11">
        <v>1.0</v>
      </c>
      <c r="E70" s="11">
        <v>0.7581</v>
      </c>
      <c r="F70" s="4">
        <f t="shared" si="3"/>
        <v>0</v>
      </c>
      <c r="G70" s="4">
        <f t="shared" si="4"/>
        <v>1</v>
      </c>
      <c r="H70" s="3" t="s">
        <v>21</v>
      </c>
    </row>
    <row r="71">
      <c r="A71" s="14" t="s">
        <v>77</v>
      </c>
      <c r="B71" s="14" t="s">
        <v>8</v>
      </c>
      <c r="C71" s="10" t="s">
        <v>8</v>
      </c>
      <c r="D71" s="11">
        <v>1.0</v>
      </c>
      <c r="E71" s="11">
        <v>1.461736</v>
      </c>
      <c r="F71" s="4">
        <f t="shared" si="3"/>
        <v>0</v>
      </c>
      <c r="G71" s="4">
        <f t="shared" si="4"/>
        <v>1</v>
      </c>
      <c r="H71" s="3" t="s">
        <v>21</v>
      </c>
    </row>
    <row r="72">
      <c r="A72" s="14" t="s">
        <v>52</v>
      </c>
      <c r="B72" s="14" t="s">
        <v>13</v>
      </c>
      <c r="C72" s="10" t="s">
        <v>8</v>
      </c>
      <c r="D72" s="12">
        <v>0.0</v>
      </c>
      <c r="E72" s="11">
        <v>1.644451</v>
      </c>
      <c r="F72" s="4">
        <f t="shared" si="3"/>
        <v>0</v>
      </c>
      <c r="G72" s="13">
        <f t="shared" si="4"/>
        <v>0</v>
      </c>
      <c r="H72" s="3" t="s">
        <v>21</v>
      </c>
    </row>
    <row r="73">
      <c r="A73" s="14" t="s">
        <v>7</v>
      </c>
      <c r="B73" s="14" t="s">
        <v>13</v>
      </c>
      <c r="C73" s="10" t="s">
        <v>8</v>
      </c>
      <c r="D73" s="12">
        <v>0.0</v>
      </c>
      <c r="E73" s="11">
        <v>1.305823</v>
      </c>
      <c r="F73" s="4">
        <f t="shared" si="3"/>
        <v>0</v>
      </c>
      <c r="G73" s="13">
        <f t="shared" si="4"/>
        <v>0</v>
      </c>
      <c r="H73" s="3" t="s">
        <v>21</v>
      </c>
    </row>
    <row r="74">
      <c r="A74" s="14" t="s">
        <v>78</v>
      </c>
      <c r="B74" s="14" t="s">
        <v>8</v>
      </c>
      <c r="C74" s="10" t="s">
        <v>13</v>
      </c>
      <c r="D74" s="12">
        <v>0.0</v>
      </c>
      <c r="E74" s="11">
        <v>0.968798</v>
      </c>
      <c r="F74" s="4">
        <f t="shared" si="3"/>
        <v>0</v>
      </c>
      <c r="G74" s="13">
        <f t="shared" si="4"/>
        <v>0</v>
      </c>
      <c r="H74" s="3" t="s">
        <v>21</v>
      </c>
    </row>
    <row r="75">
      <c r="A75" s="14" t="s">
        <v>79</v>
      </c>
      <c r="B75" s="14" t="s">
        <v>13</v>
      </c>
      <c r="C75" s="10" t="s">
        <v>13</v>
      </c>
      <c r="D75" s="11">
        <v>1.0</v>
      </c>
      <c r="E75" s="11">
        <v>3.432334</v>
      </c>
      <c r="F75" s="4">
        <f t="shared" si="3"/>
        <v>0</v>
      </c>
      <c r="G75" s="4">
        <f t="shared" si="4"/>
        <v>1</v>
      </c>
      <c r="H75" s="3" t="s">
        <v>21</v>
      </c>
    </row>
    <row r="76">
      <c r="A76" s="14" t="s">
        <v>80</v>
      </c>
      <c r="B76" s="14" t="s">
        <v>8</v>
      </c>
      <c r="C76" s="10" t="s">
        <v>8</v>
      </c>
      <c r="D76" s="11">
        <v>1.0</v>
      </c>
      <c r="E76" s="11">
        <v>0.940484</v>
      </c>
      <c r="F76" s="4">
        <f t="shared" si="3"/>
        <v>0</v>
      </c>
      <c r="G76" s="4">
        <f t="shared" si="4"/>
        <v>1</v>
      </c>
      <c r="H76" s="3" t="s">
        <v>21</v>
      </c>
    </row>
    <row r="77">
      <c r="A77" s="14" t="s">
        <v>33</v>
      </c>
      <c r="B77" s="14" t="s">
        <v>13</v>
      </c>
      <c r="C77" s="10" t="s">
        <v>8</v>
      </c>
      <c r="D77" s="11">
        <v>1.0</v>
      </c>
      <c r="E77" s="11">
        <v>0.577278</v>
      </c>
      <c r="F77" s="4">
        <f t="shared" si="3"/>
        <v>0</v>
      </c>
      <c r="G77" s="4">
        <f t="shared" si="4"/>
        <v>1</v>
      </c>
      <c r="H77" s="3" t="s">
        <v>21</v>
      </c>
    </row>
    <row r="78">
      <c r="A78" s="14" t="s">
        <v>81</v>
      </c>
      <c r="B78" s="14" t="s">
        <v>13</v>
      </c>
      <c r="C78" s="10" t="s">
        <v>8</v>
      </c>
      <c r="D78" s="11">
        <v>1.0</v>
      </c>
      <c r="E78" s="11">
        <v>0.504794</v>
      </c>
      <c r="F78" s="4">
        <f t="shared" si="3"/>
        <v>0</v>
      </c>
      <c r="G78" s="4">
        <f t="shared" si="4"/>
        <v>1</v>
      </c>
      <c r="H78" s="3" t="s">
        <v>21</v>
      </c>
    </row>
    <row r="79">
      <c r="A79" s="14" t="s">
        <v>82</v>
      </c>
      <c r="B79" s="14" t="s">
        <v>13</v>
      </c>
      <c r="C79" s="10" t="s">
        <v>13</v>
      </c>
      <c r="D79" s="11">
        <v>1.0</v>
      </c>
      <c r="E79" s="11">
        <v>1.209653</v>
      </c>
      <c r="F79" s="4">
        <f t="shared" si="3"/>
        <v>0</v>
      </c>
      <c r="G79" s="4">
        <f t="shared" si="4"/>
        <v>1</v>
      </c>
      <c r="H79" s="3" t="s">
        <v>21</v>
      </c>
    </row>
    <row r="80">
      <c r="A80" s="14" t="s">
        <v>47</v>
      </c>
      <c r="B80" s="14" t="s">
        <v>13</v>
      </c>
      <c r="C80" s="10" t="s">
        <v>13</v>
      </c>
      <c r="D80" s="11">
        <v>1.0</v>
      </c>
      <c r="E80" s="11">
        <v>1.172623</v>
      </c>
      <c r="F80" s="4">
        <f t="shared" si="3"/>
        <v>0</v>
      </c>
      <c r="G80" s="4">
        <f t="shared" si="4"/>
        <v>1</v>
      </c>
      <c r="H80" s="3" t="s">
        <v>21</v>
      </c>
    </row>
    <row r="81">
      <c r="A81" s="14" t="s">
        <v>83</v>
      </c>
      <c r="B81" s="14" t="s">
        <v>8</v>
      </c>
      <c r="C81" s="10" t="s">
        <v>13</v>
      </c>
      <c r="D81" s="12">
        <v>0.0</v>
      </c>
      <c r="E81" s="11">
        <v>2.115175</v>
      </c>
      <c r="F81" s="4">
        <f t="shared" si="3"/>
        <v>0</v>
      </c>
      <c r="G81" s="13">
        <f t="shared" si="4"/>
        <v>0</v>
      </c>
      <c r="H81" s="3" t="s">
        <v>21</v>
      </c>
    </row>
    <row r="82">
      <c r="A82" s="14" t="s">
        <v>25</v>
      </c>
      <c r="B82" s="14" t="s">
        <v>13</v>
      </c>
      <c r="C82" s="10" t="s">
        <v>13</v>
      </c>
      <c r="D82" s="11">
        <v>1.0</v>
      </c>
      <c r="E82" s="11">
        <v>0.792514</v>
      </c>
      <c r="F82" s="4">
        <f t="shared" si="3"/>
        <v>0</v>
      </c>
      <c r="G82" s="4">
        <f t="shared" si="4"/>
        <v>1</v>
      </c>
      <c r="H82" s="3" t="s">
        <v>21</v>
      </c>
    </row>
    <row r="83">
      <c r="A83" s="14" t="s">
        <v>24</v>
      </c>
      <c r="B83" s="14" t="s">
        <v>13</v>
      </c>
      <c r="C83" s="10" t="s">
        <v>13</v>
      </c>
      <c r="D83" s="11">
        <v>1.0</v>
      </c>
      <c r="E83" s="11">
        <v>0.510227</v>
      </c>
      <c r="F83" s="4">
        <f t="shared" si="3"/>
        <v>0</v>
      </c>
      <c r="G83" s="4">
        <f t="shared" si="4"/>
        <v>1</v>
      </c>
      <c r="H83" s="3" t="s">
        <v>21</v>
      </c>
    </row>
    <row r="84">
      <c r="A84" s="14" t="s">
        <v>84</v>
      </c>
      <c r="B84" s="14" t="s">
        <v>8</v>
      </c>
      <c r="C84" s="10" t="s">
        <v>8</v>
      </c>
      <c r="D84" s="11">
        <v>1.0</v>
      </c>
      <c r="E84" s="11">
        <v>0.743483</v>
      </c>
      <c r="F84" s="4">
        <f t="shared" si="3"/>
        <v>0</v>
      </c>
      <c r="G84" s="4">
        <f t="shared" si="4"/>
        <v>1</v>
      </c>
      <c r="H84" s="3" t="s">
        <v>21</v>
      </c>
    </row>
    <row r="85">
      <c r="A85" s="14" t="s">
        <v>11</v>
      </c>
      <c r="B85" s="14" t="s">
        <v>13</v>
      </c>
      <c r="C85" s="10" t="s">
        <v>8</v>
      </c>
      <c r="D85" s="12">
        <v>0.0</v>
      </c>
      <c r="E85" s="11">
        <v>1.430944</v>
      </c>
      <c r="F85" s="4">
        <f t="shared" si="3"/>
        <v>0</v>
      </c>
      <c r="G85" s="13">
        <f t="shared" si="4"/>
        <v>0</v>
      </c>
      <c r="H85" s="3" t="s">
        <v>21</v>
      </c>
    </row>
    <row r="86">
      <c r="A86" s="14" t="s">
        <v>53</v>
      </c>
      <c r="B86" s="14" t="s">
        <v>13</v>
      </c>
      <c r="C86" s="10" t="s">
        <v>8</v>
      </c>
      <c r="D86" s="12">
        <v>0.0</v>
      </c>
      <c r="E86" s="11">
        <v>1.319276</v>
      </c>
      <c r="F86" s="4">
        <f t="shared" si="3"/>
        <v>0</v>
      </c>
      <c r="G86" s="13">
        <f t="shared" si="4"/>
        <v>0</v>
      </c>
      <c r="H86" s="3" t="s">
        <v>21</v>
      </c>
    </row>
    <row r="87">
      <c r="A87" s="14" t="s">
        <v>85</v>
      </c>
      <c r="B87" s="14" t="s">
        <v>8</v>
      </c>
      <c r="C87" s="10" t="s">
        <v>8</v>
      </c>
      <c r="D87" s="11">
        <v>1.0</v>
      </c>
      <c r="E87" s="11">
        <v>2.055655</v>
      </c>
      <c r="F87" s="4">
        <f t="shared" si="3"/>
        <v>0</v>
      </c>
      <c r="G87" s="4">
        <f t="shared" si="4"/>
        <v>1</v>
      </c>
      <c r="H87" s="3" t="s">
        <v>21</v>
      </c>
    </row>
    <row r="88">
      <c r="A88" s="14" t="s">
        <v>86</v>
      </c>
      <c r="B88" s="14" t="s">
        <v>8</v>
      </c>
      <c r="C88" s="10" t="s">
        <v>8</v>
      </c>
      <c r="D88" s="11">
        <v>1.0</v>
      </c>
      <c r="E88" s="11">
        <v>2.154627</v>
      </c>
      <c r="F88" s="4">
        <f t="shared" si="3"/>
        <v>0</v>
      </c>
      <c r="G88" s="4">
        <f t="shared" si="4"/>
        <v>1</v>
      </c>
      <c r="H88" s="3" t="s">
        <v>21</v>
      </c>
    </row>
    <row r="89">
      <c r="A89" s="14" t="s">
        <v>87</v>
      </c>
      <c r="B89" s="14" t="s">
        <v>8</v>
      </c>
      <c r="C89" s="10" t="s">
        <v>8</v>
      </c>
      <c r="D89" s="11">
        <v>1.0</v>
      </c>
      <c r="E89" s="11">
        <v>0.6444</v>
      </c>
      <c r="F89" s="4">
        <f t="shared" si="3"/>
        <v>0</v>
      </c>
      <c r="G89" s="4">
        <f t="shared" si="4"/>
        <v>1</v>
      </c>
      <c r="H89" s="3" t="s">
        <v>21</v>
      </c>
    </row>
    <row r="90">
      <c r="A90" s="14" t="s">
        <v>88</v>
      </c>
      <c r="B90" s="14" t="s">
        <v>8</v>
      </c>
      <c r="C90" s="10" t="s">
        <v>8</v>
      </c>
      <c r="D90" s="11">
        <v>1.0</v>
      </c>
      <c r="E90" s="11">
        <v>0.65091</v>
      </c>
      <c r="F90" s="4">
        <f t="shared" si="3"/>
        <v>0</v>
      </c>
      <c r="G90" s="4">
        <f t="shared" si="4"/>
        <v>1</v>
      </c>
      <c r="H90" s="3" t="s">
        <v>21</v>
      </c>
    </row>
    <row r="91">
      <c r="A91" s="14" t="s">
        <v>89</v>
      </c>
      <c r="B91" s="14" t="s">
        <v>8</v>
      </c>
      <c r="C91" s="10" t="s">
        <v>8</v>
      </c>
      <c r="D91" s="11">
        <v>1.0</v>
      </c>
      <c r="E91" s="11">
        <v>0.725153</v>
      </c>
      <c r="F91" s="4">
        <f t="shared" si="3"/>
        <v>0</v>
      </c>
      <c r="G91" s="4">
        <f t="shared" si="4"/>
        <v>1</v>
      </c>
      <c r="H91" s="3" t="s">
        <v>21</v>
      </c>
    </row>
    <row r="92">
      <c r="A92" s="14" t="s">
        <v>61</v>
      </c>
      <c r="B92" s="14" t="s">
        <v>13</v>
      </c>
      <c r="C92" s="10" t="s">
        <v>8</v>
      </c>
      <c r="D92" s="12">
        <v>0.0</v>
      </c>
      <c r="E92" s="11">
        <v>1.365525</v>
      </c>
      <c r="F92" s="4">
        <f t="shared" si="3"/>
        <v>0</v>
      </c>
      <c r="G92" s="13">
        <f t="shared" si="4"/>
        <v>0</v>
      </c>
      <c r="H92" s="3" t="s">
        <v>21</v>
      </c>
    </row>
    <row r="93">
      <c r="A93" s="14" t="s">
        <v>19</v>
      </c>
      <c r="B93" s="14" t="s">
        <v>13</v>
      </c>
      <c r="C93" s="10" t="s">
        <v>8</v>
      </c>
      <c r="D93" s="12">
        <v>0.0</v>
      </c>
      <c r="E93" s="11">
        <v>1.199276</v>
      </c>
      <c r="F93" s="4">
        <f t="shared" si="3"/>
        <v>0</v>
      </c>
      <c r="G93" s="13">
        <f t="shared" si="4"/>
        <v>0</v>
      </c>
      <c r="H93" s="3" t="s">
        <v>21</v>
      </c>
    </row>
    <row r="94">
      <c r="A94" s="14" t="s">
        <v>90</v>
      </c>
      <c r="B94" s="14" t="s">
        <v>13</v>
      </c>
      <c r="C94" s="10" t="s">
        <v>8</v>
      </c>
      <c r="D94" s="11">
        <v>1.0</v>
      </c>
      <c r="E94" s="11">
        <v>0.527627</v>
      </c>
      <c r="F94" s="4">
        <f t="shared" si="3"/>
        <v>0</v>
      </c>
      <c r="G94" s="4">
        <f t="shared" si="4"/>
        <v>1</v>
      </c>
      <c r="H94" s="3" t="s">
        <v>21</v>
      </c>
    </row>
    <row r="95">
      <c r="A95" s="14" t="s">
        <v>91</v>
      </c>
      <c r="B95" s="14" t="s">
        <v>8</v>
      </c>
      <c r="C95" s="10" t="s">
        <v>8</v>
      </c>
      <c r="D95" s="11">
        <v>1.0</v>
      </c>
      <c r="E95" s="11">
        <v>0.57995</v>
      </c>
      <c r="F95" s="4">
        <f t="shared" si="3"/>
        <v>0</v>
      </c>
      <c r="G95" s="4">
        <f t="shared" si="4"/>
        <v>1</v>
      </c>
      <c r="H95" s="3" t="s">
        <v>21</v>
      </c>
    </row>
    <row r="96">
      <c r="A96" s="14" t="s">
        <v>92</v>
      </c>
      <c r="B96" s="14" t="s">
        <v>8</v>
      </c>
      <c r="C96" s="10" t="s">
        <v>8</v>
      </c>
      <c r="D96" s="11">
        <v>1.0</v>
      </c>
      <c r="E96" s="11">
        <v>0.492897</v>
      </c>
      <c r="F96" s="4">
        <f t="shared" si="3"/>
        <v>0</v>
      </c>
      <c r="G96" s="4">
        <f t="shared" si="4"/>
        <v>1</v>
      </c>
      <c r="H96" s="3" t="s">
        <v>21</v>
      </c>
    </row>
    <row r="97">
      <c r="A97" s="14" t="s">
        <v>93</v>
      </c>
      <c r="B97" s="14" t="s">
        <v>8</v>
      </c>
      <c r="C97" s="10" t="s">
        <v>8</v>
      </c>
      <c r="D97" s="11">
        <v>1.0</v>
      </c>
      <c r="E97" s="11">
        <v>0.798241</v>
      </c>
      <c r="F97" s="4">
        <f t="shared" si="3"/>
        <v>0</v>
      </c>
      <c r="G97" s="4">
        <f t="shared" si="4"/>
        <v>1</v>
      </c>
      <c r="H97" s="3" t="s">
        <v>21</v>
      </c>
    </row>
    <row r="98">
      <c r="A98" s="14" t="s">
        <v>94</v>
      </c>
      <c r="B98" s="14" t="s">
        <v>8</v>
      </c>
      <c r="C98" s="10" t="s">
        <v>8</v>
      </c>
      <c r="D98" s="11">
        <v>1.0</v>
      </c>
      <c r="E98" s="11">
        <v>2.251348</v>
      </c>
      <c r="F98" s="4">
        <f t="shared" si="3"/>
        <v>0</v>
      </c>
      <c r="G98" s="4">
        <f t="shared" si="4"/>
        <v>1</v>
      </c>
      <c r="H98" s="3" t="s">
        <v>21</v>
      </c>
    </row>
    <row r="99">
      <c r="A99" s="14" t="s">
        <v>17</v>
      </c>
      <c r="B99" s="14" t="s">
        <v>8</v>
      </c>
      <c r="C99" s="10" t="s">
        <v>13</v>
      </c>
      <c r="D99" s="12">
        <v>0.0</v>
      </c>
      <c r="E99" s="11">
        <v>1.328581</v>
      </c>
      <c r="F99" s="4">
        <f t="shared" si="3"/>
        <v>0</v>
      </c>
      <c r="G99" s="13">
        <f t="shared" si="4"/>
        <v>0</v>
      </c>
      <c r="H99" s="3" t="s">
        <v>21</v>
      </c>
    </row>
    <row r="100">
      <c r="A100" s="14" t="s">
        <v>95</v>
      </c>
      <c r="B100" s="14" t="s">
        <v>8</v>
      </c>
      <c r="C100" s="10" t="s">
        <v>13</v>
      </c>
      <c r="D100" s="11">
        <v>1.0</v>
      </c>
      <c r="E100" s="11">
        <v>0.933043</v>
      </c>
      <c r="F100" s="4">
        <f t="shared" si="3"/>
        <v>0</v>
      </c>
      <c r="G100" s="4">
        <f t="shared" si="4"/>
        <v>1</v>
      </c>
      <c r="H100" s="3" t="s">
        <v>21</v>
      </c>
    </row>
    <row r="101">
      <c r="A101" s="14" t="s">
        <v>60</v>
      </c>
      <c r="B101" s="14" t="s">
        <v>13</v>
      </c>
      <c r="C101" s="10" t="s">
        <v>13</v>
      </c>
      <c r="D101" s="11">
        <v>1.0</v>
      </c>
      <c r="E101" s="11">
        <v>1.150599</v>
      </c>
      <c r="F101" s="4">
        <f t="shared" si="3"/>
        <v>0</v>
      </c>
      <c r="G101" s="4">
        <f t="shared" si="4"/>
        <v>1</v>
      </c>
      <c r="H101" s="3" t="s">
        <v>21</v>
      </c>
    </row>
    <row r="102">
      <c r="A102" s="14" t="s">
        <v>44</v>
      </c>
      <c r="B102" s="14" t="s">
        <v>13</v>
      </c>
      <c r="C102" s="10" t="s">
        <v>8</v>
      </c>
      <c r="D102" s="12">
        <v>0.0</v>
      </c>
      <c r="E102" s="11">
        <v>2.100057</v>
      </c>
      <c r="F102" s="4">
        <f t="shared" si="3"/>
        <v>0</v>
      </c>
      <c r="G102" s="13">
        <f t="shared" si="4"/>
        <v>0</v>
      </c>
      <c r="H102" s="3" t="s">
        <v>21</v>
      </c>
    </row>
    <row r="104">
      <c r="F104" s="3" t="s">
        <v>97</v>
      </c>
      <c r="G104" s="3" t="s">
        <v>102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</row>
    <row r="2">
      <c r="A2" s="3" t="s">
        <v>7</v>
      </c>
      <c r="B2" s="3" t="s">
        <v>8</v>
      </c>
      <c r="C2" s="10" t="s">
        <v>13</v>
      </c>
      <c r="D2" s="11">
        <v>1.0</v>
      </c>
      <c r="E2" s="11">
        <v>0.9806052</v>
      </c>
      <c r="F2" s="4">
        <f t="shared" ref="F2:F51" si="1">IF(OR(E2 &lt; 0.2, E2 &gt; 5), 1, 0)</f>
        <v>0</v>
      </c>
      <c r="G2" s="4">
        <f t="shared" ref="G2:G51" si="2">IF(AND(D2=1, F2=0), 1, 0)</f>
        <v>1</v>
      </c>
      <c r="H2" s="3" t="s">
        <v>9</v>
      </c>
    </row>
    <row r="3">
      <c r="A3" s="3" t="s">
        <v>10</v>
      </c>
      <c r="B3" s="3" t="s">
        <v>8</v>
      </c>
      <c r="C3" s="10" t="s">
        <v>8</v>
      </c>
      <c r="D3" s="11">
        <v>1.0</v>
      </c>
      <c r="E3" s="11">
        <v>0.72238</v>
      </c>
      <c r="F3" s="4">
        <f t="shared" si="1"/>
        <v>0</v>
      </c>
      <c r="G3" s="4">
        <f t="shared" si="2"/>
        <v>1</v>
      </c>
      <c r="H3" s="3" t="s">
        <v>9</v>
      </c>
    </row>
    <row r="4">
      <c r="A4" s="3" t="s">
        <v>11</v>
      </c>
      <c r="B4" s="3" t="s">
        <v>8</v>
      </c>
      <c r="C4" s="10" t="s">
        <v>13</v>
      </c>
      <c r="D4" s="11">
        <v>1.0</v>
      </c>
      <c r="E4" s="11">
        <v>0.72278</v>
      </c>
      <c r="F4" s="4">
        <f t="shared" si="1"/>
        <v>0</v>
      </c>
      <c r="G4" s="4">
        <f t="shared" si="2"/>
        <v>1</v>
      </c>
      <c r="H4" s="3" t="s">
        <v>9</v>
      </c>
    </row>
    <row r="5">
      <c r="A5" s="3" t="s">
        <v>12</v>
      </c>
      <c r="B5" s="3" t="s">
        <v>13</v>
      </c>
      <c r="C5" s="10" t="s">
        <v>13</v>
      </c>
      <c r="D5" s="11">
        <v>1.0</v>
      </c>
      <c r="E5" s="11">
        <v>1.0062598</v>
      </c>
      <c r="F5" s="4">
        <f t="shared" si="1"/>
        <v>0</v>
      </c>
      <c r="G5" s="4">
        <f t="shared" si="2"/>
        <v>1</v>
      </c>
      <c r="H5" s="3" t="s">
        <v>9</v>
      </c>
    </row>
    <row r="6">
      <c r="A6" s="3" t="s">
        <v>14</v>
      </c>
      <c r="B6" s="3" t="s">
        <v>13</v>
      </c>
      <c r="C6" s="10" t="s">
        <v>8</v>
      </c>
      <c r="D6" s="11">
        <v>1.0</v>
      </c>
      <c r="E6" s="11">
        <v>0.6210198</v>
      </c>
      <c r="F6" s="4">
        <f t="shared" si="1"/>
        <v>0</v>
      </c>
      <c r="G6" s="4">
        <f t="shared" si="2"/>
        <v>1</v>
      </c>
      <c r="H6" s="3" t="s">
        <v>9</v>
      </c>
    </row>
    <row r="7">
      <c r="A7" s="3" t="s">
        <v>15</v>
      </c>
      <c r="B7" s="3" t="s">
        <v>8</v>
      </c>
      <c r="C7" s="10" t="s">
        <v>8</v>
      </c>
      <c r="D7" s="11">
        <v>1.0</v>
      </c>
      <c r="E7" s="11">
        <v>1.0715068</v>
      </c>
      <c r="F7" s="4">
        <f t="shared" si="1"/>
        <v>0</v>
      </c>
      <c r="G7" s="4">
        <f t="shared" si="2"/>
        <v>1</v>
      </c>
      <c r="H7" s="3" t="s">
        <v>9</v>
      </c>
    </row>
    <row r="8">
      <c r="A8" s="3" t="s">
        <v>16</v>
      </c>
      <c r="B8" s="3" t="s">
        <v>13</v>
      </c>
      <c r="C8" s="10" t="s">
        <v>13</v>
      </c>
      <c r="D8" s="11">
        <v>1.0</v>
      </c>
      <c r="E8" s="11">
        <v>1.275209</v>
      </c>
      <c r="F8" s="4">
        <f t="shared" si="1"/>
        <v>0</v>
      </c>
      <c r="G8" s="4">
        <f t="shared" si="2"/>
        <v>1</v>
      </c>
      <c r="H8" s="3" t="s">
        <v>9</v>
      </c>
    </row>
    <row r="9">
      <c r="A9" s="3" t="s">
        <v>17</v>
      </c>
      <c r="B9" s="3" t="s">
        <v>13</v>
      </c>
      <c r="C9" s="10" t="s">
        <v>13</v>
      </c>
      <c r="D9" s="11">
        <v>1.0</v>
      </c>
      <c r="E9" s="11">
        <v>0.5587446</v>
      </c>
      <c r="F9" s="4">
        <f t="shared" si="1"/>
        <v>0</v>
      </c>
      <c r="G9" s="4">
        <f t="shared" si="2"/>
        <v>1</v>
      </c>
      <c r="H9" s="3" t="s">
        <v>9</v>
      </c>
    </row>
    <row r="10">
      <c r="A10" s="3" t="s">
        <v>18</v>
      </c>
      <c r="B10" s="3" t="s">
        <v>13</v>
      </c>
      <c r="C10" s="10" t="s">
        <v>13</v>
      </c>
      <c r="D10" s="11">
        <v>1.0</v>
      </c>
      <c r="E10" s="11">
        <v>0.9269992</v>
      </c>
      <c r="F10" s="4">
        <f t="shared" si="1"/>
        <v>0</v>
      </c>
      <c r="G10" s="4">
        <f t="shared" si="2"/>
        <v>1</v>
      </c>
      <c r="H10" s="3" t="s">
        <v>9</v>
      </c>
      <c r="J10" s="5" t="s">
        <v>20</v>
      </c>
      <c r="K10" s="6"/>
      <c r="L10" s="6"/>
      <c r="M10" s="6"/>
      <c r="N10" s="5" t="s">
        <v>21</v>
      </c>
      <c r="O10" s="6"/>
      <c r="P10" s="6"/>
    </row>
    <row r="11">
      <c r="A11" s="3" t="s">
        <v>19</v>
      </c>
      <c r="B11" s="3" t="s">
        <v>8</v>
      </c>
      <c r="C11" s="10" t="s">
        <v>8</v>
      </c>
      <c r="D11" s="11">
        <v>1.0</v>
      </c>
      <c r="E11" s="11">
        <v>0.8643747</v>
      </c>
      <c r="F11" s="4">
        <f t="shared" si="1"/>
        <v>0</v>
      </c>
      <c r="G11" s="4">
        <f t="shared" si="2"/>
        <v>1</v>
      </c>
      <c r="H11" s="3" t="s">
        <v>9</v>
      </c>
      <c r="J11" s="5" t="s">
        <v>23</v>
      </c>
      <c r="K11" s="6">
        <f>IFERROR(__xludf.DUMMYFUNCTION("MEDIAN(FILTER(E:E, H:H=""congruent"", G:G=1))
"),0.8437563)</f>
        <v>0.8437563</v>
      </c>
      <c r="L11" s="6"/>
      <c r="M11" s="6"/>
      <c r="N11" s="5" t="s">
        <v>23</v>
      </c>
      <c r="O11" s="6">
        <f>IFERROR(__xludf.DUMMYFUNCTION("MEDIAN(FILTER(E:E, H:H=""incongruent"", G:G=1))
"),0.861701)</f>
        <v>0.861701</v>
      </c>
      <c r="P11" s="6"/>
    </row>
    <row r="12">
      <c r="A12" s="3" t="s">
        <v>22</v>
      </c>
      <c r="B12" s="3" t="s">
        <v>13</v>
      </c>
      <c r="C12" s="10" t="s">
        <v>13</v>
      </c>
      <c r="D12" s="11">
        <v>1.0</v>
      </c>
      <c r="E12" s="11">
        <v>1.0396692</v>
      </c>
      <c r="F12" s="4">
        <f t="shared" si="1"/>
        <v>0</v>
      </c>
      <c r="G12" s="4">
        <f t="shared" si="2"/>
        <v>1</v>
      </c>
      <c r="H12" s="3" t="s">
        <v>9</v>
      </c>
      <c r="J12" s="6"/>
      <c r="K12" s="6"/>
      <c r="L12" s="6"/>
      <c r="M12" s="6"/>
      <c r="N12" s="6"/>
      <c r="O12" s="6"/>
      <c r="P12" s="6"/>
    </row>
    <row r="13">
      <c r="A13" s="3" t="s">
        <v>24</v>
      </c>
      <c r="B13" s="3" t="s">
        <v>8</v>
      </c>
      <c r="C13" s="10" t="s">
        <v>13</v>
      </c>
      <c r="D13" s="11">
        <v>1.0</v>
      </c>
      <c r="E13" s="11">
        <v>0.9443681</v>
      </c>
      <c r="F13" s="4">
        <f t="shared" si="1"/>
        <v>0</v>
      </c>
      <c r="G13" s="4">
        <f t="shared" si="2"/>
        <v>1</v>
      </c>
      <c r="H13" s="3" t="s">
        <v>9</v>
      </c>
      <c r="J13" s="5" t="s">
        <v>26</v>
      </c>
      <c r="K13" s="6"/>
      <c r="L13" s="6">
        <f>IFERROR(__xludf.DUMMYFUNCTION("AVERAGE(FILTER(D:D, H:H=""congruent""))*100
"),90.0)</f>
        <v>90</v>
      </c>
      <c r="M13" s="6"/>
      <c r="N13" s="5" t="s">
        <v>27</v>
      </c>
      <c r="O13" s="6"/>
      <c r="P13" s="6">
        <f>IFERROR(__xludf.DUMMYFUNCTION("AVERAGE(FILTER(D:D, H:H=""incongruent""))*100
"),68.0)</f>
        <v>68</v>
      </c>
    </row>
    <row r="14">
      <c r="A14" s="3" t="s">
        <v>25</v>
      </c>
      <c r="B14" s="3" t="s">
        <v>8</v>
      </c>
      <c r="C14" s="10" t="s">
        <v>13</v>
      </c>
      <c r="D14" s="12">
        <v>0.0</v>
      </c>
      <c r="E14" s="11">
        <v>1.4349199</v>
      </c>
      <c r="F14" s="4">
        <f t="shared" si="1"/>
        <v>0</v>
      </c>
      <c r="G14" s="15">
        <f t="shared" si="2"/>
        <v>0</v>
      </c>
      <c r="H14" s="3" t="s">
        <v>9</v>
      </c>
    </row>
    <row r="15">
      <c r="A15" s="3" t="s">
        <v>28</v>
      </c>
      <c r="B15" s="3" t="s">
        <v>13</v>
      </c>
      <c r="C15" s="10" t="s">
        <v>13</v>
      </c>
      <c r="D15" s="11">
        <v>1.0</v>
      </c>
      <c r="E15" s="11">
        <v>1.0765067</v>
      </c>
      <c r="F15" s="4">
        <f t="shared" si="1"/>
        <v>0</v>
      </c>
      <c r="G15" s="4">
        <f t="shared" si="2"/>
        <v>1</v>
      </c>
      <c r="H15" s="3" t="s">
        <v>9</v>
      </c>
    </row>
    <row r="16">
      <c r="A16" s="3" t="s">
        <v>29</v>
      </c>
      <c r="B16" s="3" t="s">
        <v>13</v>
      </c>
      <c r="C16" s="10" t="s">
        <v>13</v>
      </c>
      <c r="D16" s="11">
        <v>1.0</v>
      </c>
      <c r="E16" s="11">
        <v>1.4579965</v>
      </c>
      <c r="F16" s="4">
        <f t="shared" si="1"/>
        <v>0</v>
      </c>
      <c r="G16" s="4">
        <f t="shared" si="2"/>
        <v>1</v>
      </c>
      <c r="H16" s="3" t="s">
        <v>9</v>
      </c>
      <c r="L16" s="3" t="s">
        <v>31</v>
      </c>
      <c r="M16" s="4">
        <f>O11-K11</f>
        <v>0.0179447</v>
      </c>
    </row>
    <row r="17">
      <c r="A17" s="3" t="s">
        <v>30</v>
      </c>
      <c r="B17" s="3" t="s">
        <v>8</v>
      </c>
      <c r="C17" s="10" t="s">
        <v>8</v>
      </c>
      <c r="D17" s="11">
        <v>1.0</v>
      </c>
      <c r="E17" s="11">
        <v>0.7026109</v>
      </c>
      <c r="F17" s="4">
        <f t="shared" si="1"/>
        <v>0</v>
      </c>
      <c r="G17" s="4">
        <f t="shared" si="2"/>
        <v>1</v>
      </c>
      <c r="H17" s="3" t="s">
        <v>9</v>
      </c>
    </row>
    <row r="18">
      <c r="A18" s="3" t="s">
        <v>32</v>
      </c>
      <c r="B18" s="3" t="s">
        <v>13</v>
      </c>
      <c r="C18" s="10" t="s">
        <v>8</v>
      </c>
      <c r="D18" s="11">
        <v>1.0</v>
      </c>
      <c r="E18" s="11">
        <v>0.7075636</v>
      </c>
      <c r="F18" s="4">
        <f t="shared" si="1"/>
        <v>0</v>
      </c>
      <c r="G18" s="4">
        <f t="shared" si="2"/>
        <v>1</v>
      </c>
      <c r="H18" s="3" t="s">
        <v>9</v>
      </c>
    </row>
    <row r="19">
      <c r="A19" s="3" t="s">
        <v>33</v>
      </c>
      <c r="B19" s="3" t="s">
        <v>8</v>
      </c>
      <c r="C19" s="10" t="s">
        <v>13</v>
      </c>
      <c r="D19" s="11">
        <v>1.0</v>
      </c>
      <c r="E19" s="11">
        <v>0.5677474</v>
      </c>
      <c r="F19" s="4">
        <f t="shared" si="1"/>
        <v>0</v>
      </c>
      <c r="G19" s="4">
        <f t="shared" si="2"/>
        <v>1</v>
      </c>
      <c r="H19" s="3" t="s">
        <v>9</v>
      </c>
    </row>
    <row r="20">
      <c r="A20" s="3" t="s">
        <v>34</v>
      </c>
      <c r="B20" s="3" t="s">
        <v>8</v>
      </c>
      <c r="C20" s="10" t="s">
        <v>13</v>
      </c>
      <c r="D20" s="11">
        <v>1.0</v>
      </c>
      <c r="E20" s="11">
        <v>0.7667194</v>
      </c>
      <c r="F20" s="4">
        <f t="shared" si="1"/>
        <v>0</v>
      </c>
      <c r="G20" s="4">
        <f t="shared" si="2"/>
        <v>1</v>
      </c>
      <c r="H20" s="3" t="s">
        <v>9</v>
      </c>
    </row>
    <row r="21">
      <c r="A21" s="3" t="s">
        <v>35</v>
      </c>
      <c r="B21" s="3" t="s">
        <v>13</v>
      </c>
      <c r="C21" s="10" t="s">
        <v>13</v>
      </c>
      <c r="D21" s="11">
        <v>1.0</v>
      </c>
      <c r="E21" s="11">
        <v>1.5468352</v>
      </c>
      <c r="F21" s="4">
        <f t="shared" si="1"/>
        <v>0</v>
      </c>
      <c r="G21" s="4">
        <f t="shared" si="2"/>
        <v>1</v>
      </c>
      <c r="H21" s="3" t="s">
        <v>9</v>
      </c>
    </row>
    <row r="22">
      <c r="A22" s="3" t="s">
        <v>36</v>
      </c>
      <c r="B22" s="3" t="s">
        <v>13</v>
      </c>
      <c r="C22" s="10" t="s">
        <v>8</v>
      </c>
      <c r="D22" s="11">
        <v>1.0</v>
      </c>
      <c r="E22" s="11">
        <v>0.670352</v>
      </c>
      <c r="F22" s="4">
        <f t="shared" si="1"/>
        <v>0</v>
      </c>
      <c r="G22" s="4">
        <f t="shared" si="2"/>
        <v>1</v>
      </c>
      <c r="H22" s="3" t="s">
        <v>9</v>
      </c>
    </row>
    <row r="23">
      <c r="A23" s="3" t="s">
        <v>37</v>
      </c>
      <c r="B23" s="3" t="s">
        <v>13</v>
      </c>
      <c r="C23" s="10" t="s">
        <v>13</v>
      </c>
      <c r="D23" s="11">
        <v>1.0</v>
      </c>
      <c r="E23" s="11">
        <v>0.8180432</v>
      </c>
      <c r="F23" s="4">
        <f t="shared" si="1"/>
        <v>0</v>
      </c>
      <c r="G23" s="4">
        <f t="shared" si="2"/>
        <v>1</v>
      </c>
      <c r="H23" s="3" t="s">
        <v>9</v>
      </c>
    </row>
    <row r="24">
      <c r="A24" s="3" t="s">
        <v>38</v>
      </c>
      <c r="B24" s="3" t="s">
        <v>13</v>
      </c>
      <c r="C24" s="10" t="s">
        <v>13</v>
      </c>
      <c r="D24" s="11">
        <v>1.0</v>
      </c>
      <c r="E24" s="11">
        <v>0.5731483</v>
      </c>
      <c r="F24" s="4">
        <f t="shared" si="1"/>
        <v>0</v>
      </c>
      <c r="G24" s="4">
        <f t="shared" si="2"/>
        <v>1</v>
      </c>
      <c r="H24" s="3" t="s">
        <v>9</v>
      </c>
    </row>
    <row r="25">
      <c r="A25" s="3" t="s">
        <v>39</v>
      </c>
      <c r="B25" s="3" t="s">
        <v>13</v>
      </c>
      <c r="C25" s="10" t="s">
        <v>8</v>
      </c>
      <c r="D25" s="11">
        <v>1.0</v>
      </c>
      <c r="E25" s="11">
        <v>0.908962</v>
      </c>
      <c r="F25" s="4">
        <f t="shared" si="1"/>
        <v>0</v>
      </c>
      <c r="G25" s="4">
        <f t="shared" si="2"/>
        <v>1</v>
      </c>
      <c r="H25" s="3" t="s">
        <v>9</v>
      </c>
    </row>
    <row r="26">
      <c r="A26" s="3" t="s">
        <v>40</v>
      </c>
      <c r="B26" s="3" t="s">
        <v>13</v>
      </c>
      <c r="C26" s="10" t="s">
        <v>8</v>
      </c>
      <c r="D26" s="11">
        <v>1.0</v>
      </c>
      <c r="E26" s="11">
        <v>1.2099412</v>
      </c>
      <c r="F26" s="4">
        <f t="shared" si="1"/>
        <v>0</v>
      </c>
      <c r="G26" s="4">
        <f t="shared" si="2"/>
        <v>1</v>
      </c>
      <c r="H26" s="3" t="s">
        <v>9</v>
      </c>
    </row>
    <row r="27">
      <c r="A27" s="3" t="s">
        <v>41</v>
      </c>
      <c r="B27" s="3" t="s">
        <v>13</v>
      </c>
      <c r="C27" s="10" t="s">
        <v>8</v>
      </c>
      <c r="D27" s="11">
        <v>1.0</v>
      </c>
      <c r="E27" s="11">
        <v>0.7073764</v>
      </c>
      <c r="F27" s="4">
        <f t="shared" si="1"/>
        <v>0</v>
      </c>
      <c r="G27" s="4">
        <f t="shared" si="2"/>
        <v>1</v>
      </c>
      <c r="H27" s="3" t="s">
        <v>9</v>
      </c>
    </row>
    <row r="28">
      <c r="A28" s="3" t="s">
        <v>42</v>
      </c>
      <c r="B28" s="3" t="s">
        <v>13</v>
      </c>
      <c r="C28" s="10" t="s">
        <v>13</v>
      </c>
      <c r="D28" s="11">
        <v>1.0</v>
      </c>
      <c r="E28" s="11">
        <v>0.5727834</v>
      </c>
      <c r="F28" s="4">
        <f t="shared" si="1"/>
        <v>0</v>
      </c>
      <c r="G28" s="4">
        <f t="shared" si="2"/>
        <v>1</v>
      </c>
      <c r="H28" s="3" t="s">
        <v>9</v>
      </c>
    </row>
    <row r="29">
      <c r="A29" s="3" t="s">
        <v>43</v>
      </c>
      <c r="B29" s="3" t="s">
        <v>8</v>
      </c>
      <c r="C29" s="10" t="s">
        <v>13</v>
      </c>
      <c r="D29" s="11">
        <v>1.0</v>
      </c>
      <c r="E29" s="11">
        <v>1.2053801</v>
      </c>
      <c r="F29" s="4">
        <f t="shared" si="1"/>
        <v>0</v>
      </c>
      <c r="G29" s="4">
        <f t="shared" si="2"/>
        <v>1</v>
      </c>
      <c r="H29" s="3" t="s">
        <v>9</v>
      </c>
    </row>
    <row r="30">
      <c r="A30" s="3" t="s">
        <v>44</v>
      </c>
      <c r="B30" s="3" t="s">
        <v>8</v>
      </c>
      <c r="C30" s="10" t="s">
        <v>13</v>
      </c>
      <c r="D30" s="11">
        <v>1.0</v>
      </c>
      <c r="E30" s="11">
        <v>1.2278566</v>
      </c>
      <c r="F30" s="4">
        <f t="shared" si="1"/>
        <v>0</v>
      </c>
      <c r="G30" s="4">
        <f t="shared" si="2"/>
        <v>1</v>
      </c>
      <c r="H30" s="3" t="s">
        <v>9</v>
      </c>
    </row>
    <row r="31">
      <c r="A31" s="3" t="s">
        <v>45</v>
      </c>
      <c r="B31" s="3" t="s">
        <v>13</v>
      </c>
      <c r="C31" s="10" t="s">
        <v>8</v>
      </c>
      <c r="D31" s="11">
        <v>1.0</v>
      </c>
      <c r="E31" s="11">
        <v>0.6286147</v>
      </c>
      <c r="F31" s="4">
        <f t="shared" si="1"/>
        <v>0</v>
      </c>
      <c r="G31" s="4">
        <f t="shared" si="2"/>
        <v>1</v>
      </c>
      <c r="H31" s="3" t="s">
        <v>9</v>
      </c>
    </row>
    <row r="32">
      <c r="A32" s="3" t="s">
        <v>46</v>
      </c>
      <c r="B32" s="3" t="s">
        <v>13</v>
      </c>
      <c r="C32" s="10" t="s">
        <v>13</v>
      </c>
      <c r="D32" s="11">
        <v>1.0</v>
      </c>
      <c r="E32" s="11">
        <v>0.7645782</v>
      </c>
      <c r="F32" s="4">
        <f t="shared" si="1"/>
        <v>0</v>
      </c>
      <c r="G32" s="4">
        <f t="shared" si="2"/>
        <v>1</v>
      </c>
      <c r="H32" s="3" t="s">
        <v>9</v>
      </c>
    </row>
    <row r="33">
      <c r="A33" s="3" t="s">
        <v>47</v>
      </c>
      <c r="B33" s="3" t="s">
        <v>8</v>
      </c>
      <c r="C33" s="10" t="s">
        <v>13</v>
      </c>
      <c r="D33" s="11">
        <v>1.0</v>
      </c>
      <c r="E33" s="11">
        <v>0.7780056</v>
      </c>
      <c r="F33" s="4">
        <f t="shared" si="1"/>
        <v>0</v>
      </c>
      <c r="G33" s="4">
        <f t="shared" si="2"/>
        <v>1</v>
      </c>
      <c r="H33" s="3" t="s">
        <v>9</v>
      </c>
    </row>
    <row r="34">
      <c r="A34" s="3" t="s">
        <v>48</v>
      </c>
      <c r="B34" s="3" t="s">
        <v>8</v>
      </c>
      <c r="C34" s="10" t="s">
        <v>13</v>
      </c>
      <c r="D34" s="11">
        <v>1.0</v>
      </c>
      <c r="E34" s="11">
        <v>0.9280302</v>
      </c>
      <c r="F34" s="4">
        <f t="shared" si="1"/>
        <v>0</v>
      </c>
      <c r="G34" s="4">
        <f t="shared" si="2"/>
        <v>1</v>
      </c>
      <c r="H34" s="3" t="s">
        <v>9</v>
      </c>
    </row>
    <row r="35">
      <c r="A35" s="3" t="s">
        <v>49</v>
      </c>
      <c r="B35" s="3" t="s">
        <v>13</v>
      </c>
      <c r="C35" s="10" t="s">
        <v>8</v>
      </c>
      <c r="D35" s="11">
        <v>1.0</v>
      </c>
      <c r="E35" s="11">
        <v>1.8135631</v>
      </c>
      <c r="F35" s="4">
        <f t="shared" si="1"/>
        <v>0</v>
      </c>
      <c r="G35" s="4">
        <f t="shared" si="2"/>
        <v>1</v>
      </c>
      <c r="H35" s="3" t="s">
        <v>9</v>
      </c>
    </row>
    <row r="36">
      <c r="A36" s="3" t="s">
        <v>50</v>
      </c>
      <c r="B36" s="3" t="s">
        <v>13</v>
      </c>
      <c r="C36" s="10" t="s">
        <v>13</v>
      </c>
      <c r="D36" s="11">
        <v>1.0</v>
      </c>
      <c r="E36" s="11">
        <v>1.0721258</v>
      </c>
      <c r="F36" s="4">
        <f t="shared" si="1"/>
        <v>0</v>
      </c>
      <c r="G36" s="4">
        <f t="shared" si="2"/>
        <v>1</v>
      </c>
      <c r="H36" s="3" t="s">
        <v>9</v>
      </c>
    </row>
    <row r="37">
      <c r="A37" s="3" t="s">
        <v>51</v>
      </c>
      <c r="B37" s="3" t="s">
        <v>8</v>
      </c>
      <c r="C37" s="10" t="s">
        <v>13</v>
      </c>
      <c r="D37" s="11">
        <v>1.0</v>
      </c>
      <c r="E37" s="11">
        <v>0.8437563</v>
      </c>
      <c r="F37" s="4">
        <f t="shared" si="1"/>
        <v>0</v>
      </c>
      <c r="G37" s="4">
        <f t="shared" si="2"/>
        <v>1</v>
      </c>
      <c r="H37" s="3" t="s">
        <v>9</v>
      </c>
    </row>
    <row r="38">
      <c r="A38" s="3" t="s">
        <v>52</v>
      </c>
      <c r="B38" s="3" t="s">
        <v>8</v>
      </c>
      <c r="C38" s="10" t="s">
        <v>13</v>
      </c>
      <c r="D38" s="12">
        <v>0.0</v>
      </c>
      <c r="E38" s="11">
        <v>3.1815518</v>
      </c>
      <c r="F38" s="4">
        <f t="shared" si="1"/>
        <v>0</v>
      </c>
      <c r="G38" s="15">
        <f t="shared" si="2"/>
        <v>0</v>
      </c>
      <c r="H38" s="3" t="s">
        <v>9</v>
      </c>
    </row>
    <row r="39">
      <c r="A39" s="3" t="s">
        <v>53</v>
      </c>
      <c r="B39" s="3" t="s">
        <v>8</v>
      </c>
      <c r="C39" s="10" t="s">
        <v>8</v>
      </c>
      <c r="D39" s="11">
        <v>1.0</v>
      </c>
      <c r="E39" s="11">
        <v>0.8624049</v>
      </c>
      <c r="F39" s="4">
        <f t="shared" si="1"/>
        <v>0</v>
      </c>
      <c r="G39" s="4">
        <f t="shared" si="2"/>
        <v>1</v>
      </c>
      <c r="H39" s="3" t="s">
        <v>9</v>
      </c>
    </row>
    <row r="40">
      <c r="A40" s="3" t="s">
        <v>54</v>
      </c>
      <c r="B40" s="3" t="s">
        <v>13</v>
      </c>
      <c r="C40" s="10" t="s">
        <v>13</v>
      </c>
      <c r="D40" s="11">
        <v>1.0</v>
      </c>
      <c r="E40" s="11">
        <v>0.9010639</v>
      </c>
      <c r="F40" s="4">
        <f t="shared" si="1"/>
        <v>0</v>
      </c>
      <c r="G40" s="4">
        <f t="shared" si="2"/>
        <v>1</v>
      </c>
      <c r="H40" s="3" t="s">
        <v>9</v>
      </c>
    </row>
    <row r="41">
      <c r="A41" s="3" t="s">
        <v>55</v>
      </c>
      <c r="B41" s="3" t="s">
        <v>8</v>
      </c>
      <c r="C41" s="10" t="s">
        <v>13</v>
      </c>
      <c r="D41" s="12">
        <v>0.0</v>
      </c>
      <c r="E41" s="11">
        <v>1.2983621</v>
      </c>
      <c r="F41" s="4">
        <f t="shared" si="1"/>
        <v>0</v>
      </c>
      <c r="G41" s="15">
        <f t="shared" si="2"/>
        <v>0</v>
      </c>
      <c r="H41" s="3" t="s">
        <v>9</v>
      </c>
    </row>
    <row r="42">
      <c r="A42" s="3" t="s">
        <v>56</v>
      </c>
      <c r="B42" s="3" t="s">
        <v>13</v>
      </c>
      <c r="C42" s="10" t="s">
        <v>13</v>
      </c>
      <c r="D42" s="11">
        <v>1.0</v>
      </c>
      <c r="E42" s="11">
        <v>0.5974539</v>
      </c>
      <c r="F42" s="4">
        <f t="shared" si="1"/>
        <v>0</v>
      </c>
      <c r="G42" s="4">
        <f t="shared" si="2"/>
        <v>1</v>
      </c>
      <c r="H42" s="3" t="s">
        <v>9</v>
      </c>
    </row>
    <row r="43">
      <c r="A43" s="3" t="s">
        <v>57</v>
      </c>
      <c r="B43" s="3" t="s">
        <v>8</v>
      </c>
      <c r="C43" s="10" t="s">
        <v>8</v>
      </c>
      <c r="D43" s="11">
        <v>1.0</v>
      </c>
      <c r="E43" s="11">
        <v>1.9550058</v>
      </c>
      <c r="F43" s="4">
        <f t="shared" si="1"/>
        <v>0</v>
      </c>
      <c r="G43" s="4">
        <f t="shared" si="2"/>
        <v>1</v>
      </c>
      <c r="H43" s="3" t="s">
        <v>9</v>
      </c>
    </row>
    <row r="44">
      <c r="A44" s="3" t="s">
        <v>58</v>
      </c>
      <c r="B44" s="3" t="s">
        <v>8</v>
      </c>
      <c r="C44" s="10" t="s">
        <v>13</v>
      </c>
      <c r="D44" s="12">
        <v>0.0</v>
      </c>
      <c r="E44" s="11">
        <v>1.8885031</v>
      </c>
      <c r="F44" s="4">
        <f t="shared" si="1"/>
        <v>0</v>
      </c>
      <c r="G44" s="15">
        <f t="shared" si="2"/>
        <v>0</v>
      </c>
      <c r="H44" s="3" t="s">
        <v>9</v>
      </c>
    </row>
    <row r="45">
      <c r="A45" s="3" t="s">
        <v>59</v>
      </c>
      <c r="B45" s="3" t="s">
        <v>8</v>
      </c>
      <c r="C45" s="10" t="s">
        <v>13</v>
      </c>
      <c r="D45" s="12">
        <v>0.0</v>
      </c>
      <c r="E45" s="11">
        <v>1.5179472</v>
      </c>
      <c r="F45" s="4">
        <f t="shared" si="1"/>
        <v>0</v>
      </c>
      <c r="G45" s="15">
        <f t="shared" si="2"/>
        <v>0</v>
      </c>
      <c r="H45" s="3" t="s">
        <v>9</v>
      </c>
    </row>
    <row r="46">
      <c r="A46" s="3" t="s">
        <v>60</v>
      </c>
      <c r="B46" s="3" t="s">
        <v>8</v>
      </c>
      <c r="C46" s="10" t="s">
        <v>8</v>
      </c>
      <c r="D46" s="11">
        <v>1.0</v>
      </c>
      <c r="E46" s="11">
        <v>0.6478315</v>
      </c>
      <c r="F46" s="4">
        <f t="shared" si="1"/>
        <v>0</v>
      </c>
      <c r="G46" s="4">
        <f t="shared" si="2"/>
        <v>1</v>
      </c>
      <c r="H46" s="3" t="s">
        <v>9</v>
      </c>
    </row>
    <row r="47">
      <c r="A47" s="3" t="s">
        <v>61</v>
      </c>
      <c r="B47" s="3" t="s">
        <v>8</v>
      </c>
      <c r="C47" s="10" t="s">
        <v>13</v>
      </c>
      <c r="D47" s="11">
        <v>1.0</v>
      </c>
      <c r="E47" s="11">
        <v>0.5860223</v>
      </c>
      <c r="F47" s="4">
        <f t="shared" si="1"/>
        <v>0</v>
      </c>
      <c r="G47" s="4">
        <f t="shared" si="2"/>
        <v>1</v>
      </c>
      <c r="H47" s="3" t="s">
        <v>9</v>
      </c>
    </row>
    <row r="48">
      <c r="A48" s="3" t="s">
        <v>62</v>
      </c>
      <c r="B48" s="3" t="s">
        <v>8</v>
      </c>
      <c r="C48" s="10" t="s">
        <v>8</v>
      </c>
      <c r="D48" s="11">
        <v>1.0</v>
      </c>
      <c r="E48" s="11">
        <v>2.2445165</v>
      </c>
      <c r="F48" s="4">
        <f t="shared" si="1"/>
        <v>0</v>
      </c>
      <c r="G48" s="4">
        <f t="shared" si="2"/>
        <v>1</v>
      </c>
      <c r="H48" s="3" t="s">
        <v>9</v>
      </c>
    </row>
    <row r="49">
      <c r="A49" s="3" t="s">
        <v>63</v>
      </c>
      <c r="B49" s="3" t="s">
        <v>8</v>
      </c>
      <c r="C49" s="10" t="s">
        <v>8</v>
      </c>
      <c r="D49" s="11">
        <v>1.0</v>
      </c>
      <c r="E49" s="11">
        <v>0.6485741</v>
      </c>
      <c r="F49" s="4">
        <f t="shared" si="1"/>
        <v>0</v>
      </c>
      <c r="G49" s="4">
        <f t="shared" si="2"/>
        <v>1</v>
      </c>
      <c r="H49" s="3" t="s">
        <v>9</v>
      </c>
    </row>
    <row r="50">
      <c r="A50" s="3" t="s">
        <v>64</v>
      </c>
      <c r="B50" s="3" t="s">
        <v>13</v>
      </c>
      <c r="C50" s="10" t="s">
        <v>13</v>
      </c>
      <c r="D50" s="11">
        <v>1.0</v>
      </c>
      <c r="E50" s="11">
        <v>0.8116745</v>
      </c>
      <c r="F50" s="4">
        <f t="shared" si="1"/>
        <v>0</v>
      </c>
      <c r="G50" s="4">
        <f t="shared" si="2"/>
        <v>1</v>
      </c>
      <c r="H50" s="3" t="s">
        <v>9</v>
      </c>
    </row>
    <row r="51">
      <c r="A51" s="3" t="s">
        <v>65</v>
      </c>
      <c r="B51" s="3" t="s">
        <v>13</v>
      </c>
      <c r="C51" s="10" t="s">
        <v>13</v>
      </c>
      <c r="D51" s="11">
        <v>1.0</v>
      </c>
      <c r="E51" s="11">
        <v>0.8099033</v>
      </c>
      <c r="F51" s="4">
        <f t="shared" si="1"/>
        <v>0</v>
      </c>
      <c r="G51" s="4">
        <f t="shared" si="2"/>
        <v>1</v>
      </c>
      <c r="H51" s="3" t="s">
        <v>9</v>
      </c>
    </row>
    <row r="53">
      <c r="A53" s="14" t="s">
        <v>66</v>
      </c>
      <c r="B53" s="14" t="s">
        <v>8</v>
      </c>
      <c r="C53" s="10" t="s">
        <v>8</v>
      </c>
      <c r="D53" s="11">
        <v>1.0</v>
      </c>
      <c r="E53" s="11">
        <v>9.310043</v>
      </c>
      <c r="F53" s="16">
        <f t="shared" ref="F53:F102" si="3">IF(OR(E53 &lt; 0.2, E53 &gt; 5), 1, 0)</f>
        <v>1</v>
      </c>
      <c r="G53" s="15">
        <f t="shared" ref="G53:G102" si="4">IF(AND(D53=1, F53=0), 1, 0)</f>
        <v>0</v>
      </c>
      <c r="H53" s="3" t="s">
        <v>21</v>
      </c>
    </row>
    <row r="54">
      <c r="A54" s="14" t="s">
        <v>67</v>
      </c>
      <c r="B54" s="14" t="s">
        <v>8</v>
      </c>
      <c r="C54" s="10" t="s">
        <v>8</v>
      </c>
      <c r="D54" s="11">
        <v>1.0</v>
      </c>
      <c r="E54" s="11">
        <v>1.40763</v>
      </c>
      <c r="F54" s="4">
        <f t="shared" si="3"/>
        <v>0</v>
      </c>
      <c r="G54" s="4">
        <f t="shared" si="4"/>
        <v>1</v>
      </c>
      <c r="H54" s="3" t="s">
        <v>21</v>
      </c>
    </row>
    <row r="55">
      <c r="A55" s="14" t="s">
        <v>68</v>
      </c>
      <c r="B55" s="14" t="s">
        <v>8</v>
      </c>
      <c r="C55" s="10" t="s">
        <v>8</v>
      </c>
      <c r="D55" s="11">
        <v>1.0</v>
      </c>
      <c r="E55" s="11">
        <v>0.88652</v>
      </c>
      <c r="F55" s="4">
        <f t="shared" si="3"/>
        <v>0</v>
      </c>
      <c r="G55" s="4">
        <f t="shared" si="4"/>
        <v>1</v>
      </c>
      <c r="H55" s="3" t="s">
        <v>21</v>
      </c>
    </row>
    <row r="56">
      <c r="A56" s="14" t="s">
        <v>55</v>
      </c>
      <c r="B56" s="14" t="s">
        <v>13</v>
      </c>
      <c r="C56" s="10" t="s">
        <v>13</v>
      </c>
      <c r="D56" s="11">
        <v>1.0</v>
      </c>
      <c r="E56" s="11">
        <v>2.661523</v>
      </c>
      <c r="F56" s="4">
        <f t="shared" si="3"/>
        <v>0</v>
      </c>
      <c r="G56" s="4">
        <f t="shared" si="4"/>
        <v>1</v>
      </c>
      <c r="H56" s="3" t="s">
        <v>21</v>
      </c>
    </row>
    <row r="57">
      <c r="A57" s="14" t="s">
        <v>69</v>
      </c>
      <c r="B57" s="14" t="s">
        <v>13</v>
      </c>
      <c r="C57" s="10" t="s">
        <v>8</v>
      </c>
      <c r="D57" s="11">
        <v>1.0</v>
      </c>
      <c r="E57" s="11">
        <v>0.837158</v>
      </c>
      <c r="F57" s="4">
        <f t="shared" si="3"/>
        <v>0</v>
      </c>
      <c r="G57" s="4">
        <f t="shared" si="4"/>
        <v>1</v>
      </c>
      <c r="H57" s="3" t="s">
        <v>21</v>
      </c>
    </row>
    <row r="58">
      <c r="A58" s="14" t="s">
        <v>70</v>
      </c>
      <c r="B58" s="14" t="s">
        <v>13</v>
      </c>
      <c r="C58" s="10" t="s">
        <v>13</v>
      </c>
      <c r="D58" s="11">
        <v>1.0</v>
      </c>
      <c r="E58" s="11">
        <v>0.903568</v>
      </c>
      <c r="F58" s="4">
        <f t="shared" si="3"/>
        <v>0</v>
      </c>
      <c r="G58" s="4">
        <f t="shared" si="4"/>
        <v>1</v>
      </c>
      <c r="H58" s="3" t="s">
        <v>21</v>
      </c>
    </row>
    <row r="59">
      <c r="A59" s="14" t="s">
        <v>71</v>
      </c>
      <c r="B59" s="14" t="s">
        <v>8</v>
      </c>
      <c r="C59" s="10" t="s">
        <v>8</v>
      </c>
      <c r="D59" s="11">
        <v>1.0</v>
      </c>
      <c r="E59" s="11">
        <v>0.704866</v>
      </c>
      <c r="F59" s="4">
        <f t="shared" si="3"/>
        <v>0</v>
      </c>
      <c r="G59" s="4">
        <f t="shared" si="4"/>
        <v>1</v>
      </c>
      <c r="H59" s="3" t="s">
        <v>21</v>
      </c>
    </row>
    <row r="60">
      <c r="A60" s="14" t="s">
        <v>72</v>
      </c>
      <c r="B60" s="14" t="s">
        <v>8</v>
      </c>
      <c r="C60" s="10" t="s">
        <v>13</v>
      </c>
      <c r="D60" s="11">
        <v>1.0</v>
      </c>
      <c r="E60" s="11">
        <v>1.072462</v>
      </c>
      <c r="F60" s="4">
        <f t="shared" si="3"/>
        <v>0</v>
      </c>
      <c r="G60" s="4">
        <f t="shared" si="4"/>
        <v>1</v>
      </c>
      <c r="H60" s="3" t="s">
        <v>21</v>
      </c>
    </row>
    <row r="61">
      <c r="A61" s="14" t="s">
        <v>43</v>
      </c>
      <c r="B61" s="14" t="s">
        <v>13</v>
      </c>
      <c r="C61" s="10" t="s">
        <v>8</v>
      </c>
      <c r="D61" s="12">
        <v>0.0</v>
      </c>
      <c r="E61" s="11">
        <v>0.583725</v>
      </c>
      <c r="F61" s="4">
        <f t="shared" si="3"/>
        <v>0</v>
      </c>
      <c r="G61" s="15">
        <f t="shared" si="4"/>
        <v>0</v>
      </c>
      <c r="H61" s="3" t="s">
        <v>21</v>
      </c>
    </row>
    <row r="62">
      <c r="A62" s="14" t="s">
        <v>73</v>
      </c>
      <c r="B62" s="14" t="s">
        <v>8</v>
      </c>
      <c r="C62" s="10" t="s">
        <v>8</v>
      </c>
      <c r="D62" s="11">
        <v>1.0</v>
      </c>
      <c r="E62" s="11">
        <v>1.195284</v>
      </c>
      <c r="F62" s="4">
        <f t="shared" si="3"/>
        <v>0</v>
      </c>
      <c r="G62" s="4">
        <f t="shared" si="4"/>
        <v>1</v>
      </c>
      <c r="H62" s="3" t="s">
        <v>21</v>
      </c>
    </row>
    <row r="63">
      <c r="A63" s="14" t="s">
        <v>59</v>
      </c>
      <c r="B63" s="14" t="s">
        <v>13</v>
      </c>
      <c r="C63" s="10" t="s">
        <v>8</v>
      </c>
      <c r="D63" s="12">
        <v>0.0</v>
      </c>
      <c r="E63" s="11">
        <v>0.893648</v>
      </c>
      <c r="F63" s="4">
        <f t="shared" si="3"/>
        <v>0</v>
      </c>
      <c r="G63" s="15">
        <f t="shared" si="4"/>
        <v>0</v>
      </c>
      <c r="H63" s="3" t="s">
        <v>21</v>
      </c>
    </row>
    <row r="64">
      <c r="A64" s="14" t="s">
        <v>74</v>
      </c>
      <c r="B64" s="14" t="s">
        <v>8</v>
      </c>
      <c r="C64" s="10" t="s">
        <v>8</v>
      </c>
      <c r="D64" s="11">
        <v>1.0</v>
      </c>
      <c r="E64" s="11">
        <v>0.783212</v>
      </c>
      <c r="F64" s="4">
        <f t="shared" si="3"/>
        <v>0</v>
      </c>
      <c r="G64" s="4">
        <f t="shared" si="4"/>
        <v>1</v>
      </c>
      <c r="H64" s="3" t="s">
        <v>21</v>
      </c>
    </row>
    <row r="65">
      <c r="A65" s="14" t="s">
        <v>51</v>
      </c>
      <c r="B65" s="14" t="s">
        <v>13</v>
      </c>
      <c r="C65" s="10" t="s">
        <v>8</v>
      </c>
      <c r="D65" s="11">
        <v>1.0</v>
      </c>
      <c r="E65" s="11">
        <v>0.776155</v>
      </c>
      <c r="F65" s="4">
        <f t="shared" si="3"/>
        <v>0</v>
      </c>
      <c r="G65" s="4">
        <f t="shared" si="4"/>
        <v>1</v>
      </c>
      <c r="H65" s="3" t="s">
        <v>21</v>
      </c>
    </row>
    <row r="66">
      <c r="A66" s="14" t="s">
        <v>34</v>
      </c>
      <c r="B66" s="14" t="s">
        <v>13</v>
      </c>
      <c r="C66" s="10" t="s">
        <v>8</v>
      </c>
      <c r="D66" s="12">
        <v>0.0</v>
      </c>
      <c r="E66" s="11">
        <v>0.805607</v>
      </c>
      <c r="F66" s="4">
        <f t="shared" si="3"/>
        <v>0</v>
      </c>
      <c r="G66" s="15">
        <f t="shared" si="4"/>
        <v>0</v>
      </c>
      <c r="H66" s="3" t="s">
        <v>21</v>
      </c>
    </row>
    <row r="67">
      <c r="A67" s="14" t="s">
        <v>57</v>
      </c>
      <c r="B67" s="14" t="s">
        <v>13</v>
      </c>
      <c r="C67" s="10" t="s">
        <v>8</v>
      </c>
      <c r="D67" s="11">
        <v>1.0</v>
      </c>
      <c r="E67" s="11">
        <v>0.587895</v>
      </c>
      <c r="F67" s="4">
        <f t="shared" si="3"/>
        <v>0</v>
      </c>
      <c r="G67" s="4">
        <f t="shared" si="4"/>
        <v>1</v>
      </c>
      <c r="H67" s="3" t="s">
        <v>21</v>
      </c>
    </row>
    <row r="68">
      <c r="A68" s="14" t="s">
        <v>75</v>
      </c>
      <c r="B68" s="14" t="s">
        <v>8</v>
      </c>
      <c r="C68" s="10" t="s">
        <v>13</v>
      </c>
      <c r="D68" s="12">
        <v>0.0</v>
      </c>
      <c r="E68" s="11">
        <v>0.88108</v>
      </c>
      <c r="F68" s="4">
        <f t="shared" si="3"/>
        <v>0</v>
      </c>
      <c r="G68" s="15">
        <f t="shared" si="4"/>
        <v>0</v>
      </c>
      <c r="H68" s="3" t="s">
        <v>21</v>
      </c>
    </row>
    <row r="69">
      <c r="A69" s="14" t="s">
        <v>62</v>
      </c>
      <c r="B69" s="14" t="s">
        <v>13</v>
      </c>
      <c r="C69" s="10" t="s">
        <v>8</v>
      </c>
      <c r="D69" s="11">
        <v>1.0</v>
      </c>
      <c r="E69" s="11">
        <v>1.623601</v>
      </c>
      <c r="F69" s="4">
        <f t="shared" si="3"/>
        <v>0</v>
      </c>
      <c r="G69" s="4">
        <f t="shared" si="4"/>
        <v>1</v>
      </c>
      <c r="H69" s="3" t="s">
        <v>21</v>
      </c>
    </row>
    <row r="70">
      <c r="A70" s="14" t="s">
        <v>76</v>
      </c>
      <c r="B70" s="14" t="s">
        <v>8</v>
      </c>
      <c r="C70" s="10" t="s">
        <v>8</v>
      </c>
      <c r="D70" s="11">
        <v>1.0</v>
      </c>
      <c r="E70" s="11">
        <v>1.233738</v>
      </c>
      <c r="F70" s="4">
        <f t="shared" si="3"/>
        <v>0</v>
      </c>
      <c r="G70" s="4">
        <f t="shared" si="4"/>
        <v>1</v>
      </c>
      <c r="H70" s="3" t="s">
        <v>21</v>
      </c>
    </row>
    <row r="71">
      <c r="A71" s="14" t="s">
        <v>77</v>
      </c>
      <c r="B71" s="14" t="s">
        <v>8</v>
      </c>
      <c r="C71" s="10" t="s">
        <v>8</v>
      </c>
      <c r="D71" s="11">
        <v>1.0</v>
      </c>
      <c r="E71" s="11">
        <v>1.072072</v>
      </c>
      <c r="F71" s="4">
        <f t="shared" si="3"/>
        <v>0</v>
      </c>
      <c r="G71" s="4">
        <f t="shared" si="4"/>
        <v>1</v>
      </c>
      <c r="H71" s="3" t="s">
        <v>21</v>
      </c>
    </row>
    <row r="72">
      <c r="A72" s="14" t="s">
        <v>52</v>
      </c>
      <c r="B72" s="14" t="s">
        <v>13</v>
      </c>
      <c r="C72" s="10" t="s">
        <v>8</v>
      </c>
      <c r="D72" s="12">
        <v>0.0</v>
      </c>
      <c r="E72" s="11">
        <v>1.469293</v>
      </c>
      <c r="F72" s="4">
        <f t="shared" si="3"/>
        <v>0</v>
      </c>
      <c r="G72" s="15">
        <f t="shared" si="4"/>
        <v>0</v>
      </c>
      <c r="H72" s="3" t="s">
        <v>21</v>
      </c>
    </row>
    <row r="73">
      <c r="A73" s="14" t="s">
        <v>7</v>
      </c>
      <c r="B73" s="14" t="s">
        <v>13</v>
      </c>
      <c r="C73" s="10" t="s">
        <v>13</v>
      </c>
      <c r="D73" s="11">
        <v>1.0</v>
      </c>
      <c r="E73" s="11">
        <v>0.844526</v>
      </c>
      <c r="F73" s="4">
        <f t="shared" si="3"/>
        <v>0</v>
      </c>
      <c r="G73" s="4">
        <f t="shared" si="4"/>
        <v>1</v>
      </c>
      <c r="H73" s="3" t="s">
        <v>21</v>
      </c>
    </row>
    <row r="74">
      <c r="A74" s="14" t="s">
        <v>78</v>
      </c>
      <c r="B74" s="14" t="s">
        <v>8</v>
      </c>
      <c r="C74" s="10" t="s">
        <v>13</v>
      </c>
      <c r="D74" s="12">
        <v>0.0</v>
      </c>
      <c r="E74" s="11">
        <v>0.701385</v>
      </c>
      <c r="F74" s="4">
        <f t="shared" si="3"/>
        <v>0</v>
      </c>
      <c r="G74" s="15">
        <f t="shared" si="4"/>
        <v>0</v>
      </c>
      <c r="H74" s="3" t="s">
        <v>21</v>
      </c>
    </row>
    <row r="75">
      <c r="A75" s="14" t="s">
        <v>79</v>
      </c>
      <c r="B75" s="14" t="s">
        <v>13</v>
      </c>
      <c r="C75" s="10" t="s">
        <v>13</v>
      </c>
      <c r="D75" s="12">
        <v>0.0</v>
      </c>
      <c r="E75" s="11">
        <v>1.358025</v>
      </c>
      <c r="F75" s="4">
        <f t="shared" si="3"/>
        <v>0</v>
      </c>
      <c r="G75" s="15">
        <f t="shared" si="4"/>
        <v>0</v>
      </c>
      <c r="H75" s="3" t="s">
        <v>21</v>
      </c>
    </row>
    <row r="76">
      <c r="A76" s="14" t="s">
        <v>80</v>
      </c>
      <c r="B76" s="14" t="s">
        <v>8</v>
      </c>
      <c r="C76" s="10" t="s">
        <v>13</v>
      </c>
      <c r="D76" s="11">
        <v>1.0</v>
      </c>
      <c r="E76" s="11">
        <v>1.033262</v>
      </c>
      <c r="F76" s="4">
        <f t="shared" si="3"/>
        <v>0</v>
      </c>
      <c r="G76" s="4">
        <f t="shared" si="4"/>
        <v>1</v>
      </c>
      <c r="H76" s="3" t="s">
        <v>21</v>
      </c>
    </row>
    <row r="77">
      <c r="A77" s="14" t="s">
        <v>33</v>
      </c>
      <c r="B77" s="14" t="s">
        <v>13</v>
      </c>
      <c r="C77" s="10" t="s">
        <v>8</v>
      </c>
      <c r="D77" s="12">
        <v>0.0</v>
      </c>
      <c r="E77" s="11">
        <v>1.014585</v>
      </c>
      <c r="F77" s="4">
        <f t="shared" si="3"/>
        <v>0</v>
      </c>
      <c r="G77" s="15">
        <f t="shared" si="4"/>
        <v>0</v>
      </c>
      <c r="H77" s="3" t="s">
        <v>21</v>
      </c>
    </row>
    <row r="78">
      <c r="A78" s="14" t="s">
        <v>81</v>
      </c>
      <c r="B78" s="14" t="s">
        <v>13</v>
      </c>
      <c r="C78" s="10" t="s">
        <v>8</v>
      </c>
      <c r="D78" s="12">
        <v>0.0</v>
      </c>
      <c r="E78" s="11">
        <v>0.530179</v>
      </c>
      <c r="F78" s="4">
        <f t="shared" si="3"/>
        <v>0</v>
      </c>
      <c r="G78" s="15">
        <f t="shared" si="4"/>
        <v>0</v>
      </c>
      <c r="H78" s="3" t="s">
        <v>21</v>
      </c>
    </row>
    <row r="79">
      <c r="A79" s="14" t="s">
        <v>82</v>
      </c>
      <c r="B79" s="14" t="s">
        <v>13</v>
      </c>
      <c r="C79" s="10" t="s">
        <v>13</v>
      </c>
      <c r="D79" s="11">
        <v>1.0</v>
      </c>
      <c r="E79" s="11">
        <v>0.861701</v>
      </c>
      <c r="F79" s="4">
        <f t="shared" si="3"/>
        <v>0</v>
      </c>
      <c r="G79" s="4">
        <f t="shared" si="4"/>
        <v>1</v>
      </c>
      <c r="H79" s="3" t="s">
        <v>21</v>
      </c>
    </row>
    <row r="80">
      <c r="A80" s="14" t="s">
        <v>47</v>
      </c>
      <c r="B80" s="14" t="s">
        <v>13</v>
      </c>
      <c r="C80" s="10" t="s">
        <v>8</v>
      </c>
      <c r="D80" s="12">
        <v>0.0</v>
      </c>
      <c r="E80" s="11">
        <v>0.607435</v>
      </c>
      <c r="F80" s="4">
        <f t="shared" si="3"/>
        <v>0</v>
      </c>
      <c r="G80" s="15">
        <f t="shared" si="4"/>
        <v>0</v>
      </c>
      <c r="H80" s="3" t="s">
        <v>21</v>
      </c>
    </row>
    <row r="81">
      <c r="A81" s="14" t="s">
        <v>83</v>
      </c>
      <c r="B81" s="14" t="s">
        <v>8</v>
      </c>
      <c r="C81" s="10" t="s">
        <v>13</v>
      </c>
      <c r="D81" s="12">
        <v>0.0</v>
      </c>
      <c r="E81" s="11">
        <v>1.262695</v>
      </c>
      <c r="F81" s="4">
        <f t="shared" si="3"/>
        <v>0</v>
      </c>
      <c r="G81" s="15">
        <f t="shared" si="4"/>
        <v>0</v>
      </c>
      <c r="H81" s="3" t="s">
        <v>21</v>
      </c>
    </row>
    <row r="82">
      <c r="A82" s="14" t="s">
        <v>25</v>
      </c>
      <c r="B82" s="14" t="s">
        <v>13</v>
      </c>
      <c r="C82" s="10" t="s">
        <v>13</v>
      </c>
      <c r="D82" s="11">
        <v>1.0</v>
      </c>
      <c r="E82" s="11">
        <v>0.887976</v>
      </c>
      <c r="F82" s="4">
        <f t="shared" si="3"/>
        <v>0</v>
      </c>
      <c r="G82" s="4">
        <f t="shared" si="4"/>
        <v>1</v>
      </c>
      <c r="H82" s="3" t="s">
        <v>21</v>
      </c>
    </row>
    <row r="83">
      <c r="A83" s="14" t="s">
        <v>24</v>
      </c>
      <c r="B83" s="14" t="s">
        <v>13</v>
      </c>
      <c r="C83" s="10" t="s">
        <v>8</v>
      </c>
      <c r="D83" s="12">
        <v>0.0</v>
      </c>
      <c r="E83" s="11">
        <v>0.809778</v>
      </c>
      <c r="F83" s="4">
        <f t="shared" si="3"/>
        <v>0</v>
      </c>
      <c r="G83" s="15">
        <f t="shared" si="4"/>
        <v>0</v>
      </c>
      <c r="H83" s="3" t="s">
        <v>21</v>
      </c>
    </row>
    <row r="84">
      <c r="A84" s="14" t="s">
        <v>84</v>
      </c>
      <c r="B84" s="14" t="s">
        <v>8</v>
      </c>
      <c r="C84" s="10" t="s">
        <v>13</v>
      </c>
      <c r="D84" s="11">
        <v>1.0</v>
      </c>
      <c r="E84" s="11">
        <v>0.672818</v>
      </c>
      <c r="F84" s="4">
        <f t="shared" si="3"/>
        <v>0</v>
      </c>
      <c r="G84" s="4">
        <f t="shared" si="4"/>
        <v>1</v>
      </c>
      <c r="H84" s="3" t="s">
        <v>21</v>
      </c>
    </row>
    <row r="85">
      <c r="A85" s="14" t="s">
        <v>11</v>
      </c>
      <c r="B85" s="14" t="s">
        <v>13</v>
      </c>
      <c r="C85" s="10" t="s">
        <v>13</v>
      </c>
      <c r="D85" s="11">
        <v>1.0</v>
      </c>
      <c r="E85" s="11">
        <v>1.105486</v>
      </c>
      <c r="F85" s="4">
        <f t="shared" si="3"/>
        <v>0</v>
      </c>
      <c r="G85" s="4">
        <f t="shared" si="4"/>
        <v>1</v>
      </c>
      <c r="H85" s="3" t="s">
        <v>21</v>
      </c>
    </row>
    <row r="86">
      <c r="A86" s="14" t="s">
        <v>53</v>
      </c>
      <c r="B86" s="14" t="s">
        <v>13</v>
      </c>
      <c r="C86" s="10" t="s">
        <v>13</v>
      </c>
      <c r="D86" s="11">
        <v>1.0</v>
      </c>
      <c r="E86" s="11">
        <v>0.703027</v>
      </c>
      <c r="F86" s="4">
        <f t="shared" si="3"/>
        <v>0</v>
      </c>
      <c r="G86" s="4">
        <f t="shared" si="4"/>
        <v>1</v>
      </c>
      <c r="H86" s="3" t="s">
        <v>21</v>
      </c>
    </row>
    <row r="87">
      <c r="A87" s="14" t="s">
        <v>85</v>
      </c>
      <c r="B87" s="14" t="s">
        <v>8</v>
      </c>
      <c r="C87" s="10" t="s">
        <v>8</v>
      </c>
      <c r="D87" s="11">
        <v>1.0</v>
      </c>
      <c r="E87" s="11">
        <v>0.603749</v>
      </c>
      <c r="F87" s="4">
        <f t="shared" si="3"/>
        <v>0</v>
      </c>
      <c r="G87" s="4">
        <f t="shared" si="4"/>
        <v>1</v>
      </c>
      <c r="H87" s="3" t="s">
        <v>21</v>
      </c>
    </row>
    <row r="88">
      <c r="A88" s="14" t="s">
        <v>86</v>
      </c>
      <c r="B88" s="14" t="s">
        <v>8</v>
      </c>
      <c r="C88" s="10" t="s">
        <v>13</v>
      </c>
      <c r="D88" s="12">
        <v>0.0</v>
      </c>
      <c r="E88" s="11">
        <v>0.567978</v>
      </c>
      <c r="F88" s="4">
        <f t="shared" si="3"/>
        <v>0</v>
      </c>
      <c r="G88" s="15">
        <f t="shared" si="4"/>
        <v>0</v>
      </c>
      <c r="H88" s="3" t="s">
        <v>21</v>
      </c>
    </row>
    <row r="89">
      <c r="A89" s="14" t="s">
        <v>87</v>
      </c>
      <c r="B89" s="14" t="s">
        <v>8</v>
      </c>
      <c r="C89" s="10" t="s">
        <v>13</v>
      </c>
      <c r="D89" s="11">
        <v>1.0</v>
      </c>
      <c r="E89" s="11">
        <v>1.035623</v>
      </c>
      <c r="F89" s="4">
        <f t="shared" si="3"/>
        <v>0</v>
      </c>
      <c r="G89" s="4">
        <f t="shared" si="4"/>
        <v>1</v>
      </c>
      <c r="H89" s="3" t="s">
        <v>21</v>
      </c>
    </row>
    <row r="90">
      <c r="A90" s="14" t="s">
        <v>88</v>
      </c>
      <c r="B90" s="14" t="s">
        <v>8</v>
      </c>
      <c r="C90" s="10" t="s">
        <v>8</v>
      </c>
      <c r="D90" s="11">
        <v>1.0</v>
      </c>
      <c r="E90" s="11">
        <v>2.286924</v>
      </c>
      <c r="F90" s="4">
        <f t="shared" si="3"/>
        <v>0</v>
      </c>
      <c r="G90" s="4">
        <f t="shared" si="4"/>
        <v>1</v>
      </c>
      <c r="H90" s="3" t="s">
        <v>21</v>
      </c>
    </row>
    <row r="91">
      <c r="A91" s="14" t="s">
        <v>89</v>
      </c>
      <c r="B91" s="14" t="s">
        <v>8</v>
      </c>
      <c r="C91" s="10" t="s">
        <v>13</v>
      </c>
      <c r="D91" s="11">
        <v>1.0</v>
      </c>
      <c r="E91" s="11">
        <v>0.691336</v>
      </c>
      <c r="F91" s="4">
        <f t="shared" si="3"/>
        <v>0</v>
      </c>
      <c r="G91" s="4">
        <f t="shared" si="4"/>
        <v>1</v>
      </c>
      <c r="H91" s="3" t="s">
        <v>21</v>
      </c>
    </row>
    <row r="92">
      <c r="A92" s="14" t="s">
        <v>61</v>
      </c>
      <c r="B92" s="14" t="s">
        <v>13</v>
      </c>
      <c r="C92" s="10" t="s">
        <v>13</v>
      </c>
      <c r="D92" s="11">
        <v>1.0</v>
      </c>
      <c r="E92" s="11">
        <v>0.774992</v>
      </c>
      <c r="F92" s="4">
        <f t="shared" si="3"/>
        <v>0</v>
      </c>
      <c r="G92" s="4">
        <f t="shared" si="4"/>
        <v>1</v>
      </c>
      <c r="H92" s="3" t="s">
        <v>21</v>
      </c>
    </row>
    <row r="93">
      <c r="A93" s="14" t="s">
        <v>19</v>
      </c>
      <c r="B93" s="14" t="s">
        <v>13</v>
      </c>
      <c r="C93" s="10" t="s">
        <v>8</v>
      </c>
      <c r="D93" s="12">
        <v>0.0</v>
      </c>
      <c r="E93" s="11">
        <v>1.058106</v>
      </c>
      <c r="F93" s="4">
        <f t="shared" si="3"/>
        <v>0</v>
      </c>
      <c r="G93" s="15">
        <f t="shared" si="4"/>
        <v>0</v>
      </c>
      <c r="H93" s="3" t="s">
        <v>21</v>
      </c>
    </row>
    <row r="94">
      <c r="A94" s="14" t="s">
        <v>90</v>
      </c>
      <c r="B94" s="14" t="s">
        <v>13</v>
      </c>
      <c r="C94" s="10" t="s">
        <v>13</v>
      </c>
      <c r="D94" s="11">
        <v>1.0</v>
      </c>
      <c r="E94" s="11">
        <v>0.675401</v>
      </c>
      <c r="F94" s="4">
        <f t="shared" si="3"/>
        <v>0</v>
      </c>
      <c r="G94" s="4">
        <f t="shared" si="4"/>
        <v>1</v>
      </c>
      <c r="H94" s="3" t="s">
        <v>21</v>
      </c>
    </row>
    <row r="95">
      <c r="A95" s="14" t="s">
        <v>91</v>
      </c>
      <c r="B95" s="14" t="s">
        <v>8</v>
      </c>
      <c r="C95" s="10" t="s">
        <v>13</v>
      </c>
      <c r="D95" s="12">
        <v>0.0</v>
      </c>
      <c r="E95" s="11">
        <v>0.627025</v>
      </c>
      <c r="F95" s="4">
        <f t="shared" si="3"/>
        <v>0</v>
      </c>
      <c r="G95" s="15">
        <f t="shared" si="4"/>
        <v>0</v>
      </c>
      <c r="H95" s="3" t="s">
        <v>21</v>
      </c>
    </row>
    <row r="96">
      <c r="A96" s="14" t="s">
        <v>92</v>
      </c>
      <c r="B96" s="14" t="s">
        <v>8</v>
      </c>
      <c r="C96" s="10" t="s">
        <v>8</v>
      </c>
      <c r="D96" s="11">
        <v>1.0</v>
      </c>
      <c r="E96" s="11">
        <v>0.736398</v>
      </c>
      <c r="F96" s="4">
        <f t="shared" si="3"/>
        <v>0</v>
      </c>
      <c r="G96" s="4">
        <f t="shared" si="4"/>
        <v>1</v>
      </c>
      <c r="H96" s="3" t="s">
        <v>21</v>
      </c>
    </row>
    <row r="97">
      <c r="A97" s="14" t="s">
        <v>93</v>
      </c>
      <c r="B97" s="14" t="s">
        <v>8</v>
      </c>
      <c r="C97" s="10" t="s">
        <v>8</v>
      </c>
      <c r="D97" s="11">
        <v>1.0</v>
      </c>
      <c r="E97" s="11">
        <v>1.156988</v>
      </c>
      <c r="F97" s="4">
        <f t="shared" si="3"/>
        <v>0</v>
      </c>
      <c r="G97" s="4">
        <f t="shared" si="4"/>
        <v>1</v>
      </c>
      <c r="H97" s="3" t="s">
        <v>21</v>
      </c>
    </row>
    <row r="98">
      <c r="A98" s="14" t="s">
        <v>94</v>
      </c>
      <c r="B98" s="14" t="s">
        <v>8</v>
      </c>
      <c r="C98" s="10" t="s">
        <v>13</v>
      </c>
      <c r="D98" s="11">
        <v>1.0</v>
      </c>
      <c r="E98" s="11">
        <v>1.574209</v>
      </c>
      <c r="F98" s="4">
        <f t="shared" si="3"/>
        <v>0</v>
      </c>
      <c r="G98" s="4">
        <f t="shared" si="4"/>
        <v>1</v>
      </c>
      <c r="H98" s="3" t="s">
        <v>21</v>
      </c>
    </row>
    <row r="99">
      <c r="A99" s="14" t="s">
        <v>17</v>
      </c>
      <c r="B99" s="14" t="s">
        <v>8</v>
      </c>
      <c r="C99" s="10" t="s">
        <v>13</v>
      </c>
      <c r="D99" s="11">
        <v>1.0</v>
      </c>
      <c r="E99" s="11">
        <v>0.611832</v>
      </c>
      <c r="F99" s="4">
        <f t="shared" si="3"/>
        <v>0</v>
      </c>
      <c r="G99" s="4">
        <f t="shared" si="4"/>
        <v>1</v>
      </c>
      <c r="H99" s="3" t="s">
        <v>21</v>
      </c>
    </row>
    <row r="100">
      <c r="A100" s="14" t="s">
        <v>95</v>
      </c>
      <c r="B100" s="14" t="s">
        <v>8</v>
      </c>
      <c r="C100" s="10" t="s">
        <v>13</v>
      </c>
      <c r="D100" s="12">
        <v>0.0</v>
      </c>
      <c r="E100" s="11">
        <v>0.63358</v>
      </c>
      <c r="F100" s="4">
        <f t="shared" si="3"/>
        <v>0</v>
      </c>
      <c r="G100" s="15">
        <f t="shared" si="4"/>
        <v>0</v>
      </c>
      <c r="H100" s="3" t="s">
        <v>21</v>
      </c>
    </row>
    <row r="101">
      <c r="A101" s="14" t="s">
        <v>60</v>
      </c>
      <c r="B101" s="14" t="s">
        <v>13</v>
      </c>
      <c r="C101" s="10" t="s">
        <v>13</v>
      </c>
      <c r="D101" s="11">
        <v>1.0</v>
      </c>
      <c r="E101" s="11">
        <v>0.601789</v>
      </c>
      <c r="F101" s="4">
        <f t="shared" si="3"/>
        <v>0</v>
      </c>
      <c r="G101" s="4">
        <f t="shared" si="4"/>
        <v>1</v>
      </c>
      <c r="H101" s="3" t="s">
        <v>21</v>
      </c>
    </row>
    <row r="102">
      <c r="A102" s="14" t="s">
        <v>44</v>
      </c>
      <c r="B102" s="14" t="s">
        <v>13</v>
      </c>
      <c r="C102" s="10" t="s">
        <v>13</v>
      </c>
      <c r="D102" s="11">
        <v>1.0</v>
      </c>
      <c r="E102" s="11">
        <v>0.55568</v>
      </c>
      <c r="F102" s="4">
        <f t="shared" si="3"/>
        <v>0</v>
      </c>
      <c r="G102" s="4">
        <f t="shared" si="4"/>
        <v>1</v>
      </c>
      <c r="H102" s="3" t="s">
        <v>21</v>
      </c>
    </row>
    <row r="104">
      <c r="F104" s="3" t="s">
        <v>103</v>
      </c>
      <c r="G104" s="3" t="s">
        <v>104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</row>
    <row r="2">
      <c r="A2" s="3" t="s">
        <v>7</v>
      </c>
      <c r="B2" s="3" t="s">
        <v>8</v>
      </c>
      <c r="C2" s="10" t="s">
        <v>8</v>
      </c>
      <c r="D2" s="11">
        <v>1.0</v>
      </c>
      <c r="E2" s="11">
        <v>1.344585</v>
      </c>
      <c r="F2" s="4">
        <f t="shared" ref="F2:F51" si="1">IF(OR(E2 &lt; 0.2, E2 &gt; 5), 1, 0)</f>
        <v>0</v>
      </c>
      <c r="G2" s="4">
        <f t="shared" ref="G2:G51" si="2">IF(AND(D2=1, F2=0), 1, 0)</f>
        <v>1</v>
      </c>
      <c r="H2" s="3" t="s">
        <v>9</v>
      </c>
    </row>
    <row r="3">
      <c r="A3" s="3" t="s">
        <v>10</v>
      </c>
      <c r="B3" s="3" t="s">
        <v>8</v>
      </c>
      <c r="C3" s="10" t="s">
        <v>8</v>
      </c>
      <c r="D3" s="11">
        <v>1.0</v>
      </c>
      <c r="E3" s="11">
        <v>0.677403</v>
      </c>
      <c r="F3" s="4">
        <f t="shared" si="1"/>
        <v>0</v>
      </c>
      <c r="G3" s="4">
        <f t="shared" si="2"/>
        <v>1</v>
      </c>
      <c r="H3" s="3" t="s">
        <v>9</v>
      </c>
    </row>
    <row r="4">
      <c r="A4" s="3" t="s">
        <v>11</v>
      </c>
      <c r="B4" s="3" t="s">
        <v>8</v>
      </c>
      <c r="C4" s="10" t="s">
        <v>8</v>
      </c>
      <c r="D4" s="11">
        <v>1.0</v>
      </c>
      <c r="E4" s="11">
        <v>0.561794</v>
      </c>
      <c r="F4" s="4">
        <f t="shared" si="1"/>
        <v>0</v>
      </c>
      <c r="G4" s="4">
        <f t="shared" si="2"/>
        <v>1</v>
      </c>
      <c r="H4" s="3" t="s">
        <v>9</v>
      </c>
    </row>
    <row r="5">
      <c r="A5" s="3" t="s">
        <v>12</v>
      </c>
      <c r="B5" s="3" t="s">
        <v>13</v>
      </c>
      <c r="C5" s="10" t="s">
        <v>13</v>
      </c>
      <c r="D5" s="11">
        <v>1.0</v>
      </c>
      <c r="E5" s="11">
        <v>1.117278</v>
      </c>
      <c r="F5" s="4">
        <f t="shared" si="1"/>
        <v>0</v>
      </c>
      <c r="G5" s="4">
        <f t="shared" si="2"/>
        <v>1</v>
      </c>
      <c r="H5" s="3" t="s">
        <v>9</v>
      </c>
    </row>
    <row r="6">
      <c r="A6" s="3" t="s">
        <v>14</v>
      </c>
      <c r="B6" s="3" t="s">
        <v>13</v>
      </c>
      <c r="C6" s="10" t="s">
        <v>13</v>
      </c>
      <c r="D6" s="11">
        <v>1.0</v>
      </c>
      <c r="E6" s="11">
        <v>0.542796</v>
      </c>
      <c r="F6" s="4">
        <f t="shared" si="1"/>
        <v>0</v>
      </c>
      <c r="G6" s="4">
        <f t="shared" si="2"/>
        <v>1</v>
      </c>
      <c r="H6" s="3" t="s">
        <v>9</v>
      </c>
    </row>
    <row r="7">
      <c r="A7" s="3" t="s">
        <v>15</v>
      </c>
      <c r="B7" s="3" t="s">
        <v>8</v>
      </c>
      <c r="C7" s="10" t="s">
        <v>13</v>
      </c>
      <c r="D7" s="11">
        <v>1.0</v>
      </c>
      <c r="E7" s="11">
        <v>0.531806</v>
      </c>
      <c r="F7" s="4">
        <f t="shared" si="1"/>
        <v>0</v>
      </c>
      <c r="G7" s="4">
        <f t="shared" si="2"/>
        <v>1</v>
      </c>
      <c r="H7" s="3" t="s">
        <v>9</v>
      </c>
    </row>
    <row r="8">
      <c r="A8" s="3" t="s">
        <v>16</v>
      </c>
      <c r="B8" s="3" t="s">
        <v>13</v>
      </c>
      <c r="C8" s="10" t="s">
        <v>13</v>
      </c>
      <c r="D8" s="11">
        <v>1.0</v>
      </c>
      <c r="E8" s="11">
        <v>0.770691</v>
      </c>
      <c r="F8" s="4">
        <f t="shared" si="1"/>
        <v>0</v>
      </c>
      <c r="G8" s="4">
        <f t="shared" si="2"/>
        <v>1</v>
      </c>
      <c r="H8" s="3" t="s">
        <v>9</v>
      </c>
    </row>
    <row r="9">
      <c r="A9" s="3" t="s">
        <v>17</v>
      </c>
      <c r="B9" s="3" t="s">
        <v>13</v>
      </c>
      <c r="C9" s="10" t="s">
        <v>8</v>
      </c>
      <c r="D9" s="11">
        <v>1.0</v>
      </c>
      <c r="E9" s="11">
        <v>1.466022</v>
      </c>
      <c r="F9" s="4">
        <f t="shared" si="1"/>
        <v>0</v>
      </c>
      <c r="G9" s="4">
        <f t="shared" si="2"/>
        <v>1</v>
      </c>
      <c r="H9" s="3" t="s">
        <v>9</v>
      </c>
      <c r="J9" s="5" t="s">
        <v>20</v>
      </c>
      <c r="K9" s="6"/>
      <c r="L9" s="6"/>
      <c r="M9" s="6"/>
      <c r="N9" s="5" t="s">
        <v>21</v>
      </c>
      <c r="O9" s="6"/>
      <c r="P9" s="6"/>
    </row>
    <row r="10">
      <c r="A10" s="3" t="s">
        <v>18</v>
      </c>
      <c r="B10" s="3" t="s">
        <v>13</v>
      </c>
      <c r="C10" s="10" t="s">
        <v>13</v>
      </c>
      <c r="D10" s="12">
        <v>0.0</v>
      </c>
      <c r="E10" s="11">
        <v>0.818679</v>
      </c>
      <c r="F10" s="4">
        <f t="shared" si="1"/>
        <v>0</v>
      </c>
      <c r="G10" s="15">
        <f t="shared" si="2"/>
        <v>0</v>
      </c>
      <c r="H10" s="3" t="s">
        <v>9</v>
      </c>
      <c r="J10" s="5" t="s">
        <v>23</v>
      </c>
      <c r="K10" s="6">
        <f>IFERROR(__xludf.DUMMYFUNCTION("MEDIAN(FILTER(E:E, H:H=""congruent"", G:G=1))
"),0.855403)</f>
        <v>0.855403</v>
      </c>
      <c r="L10" s="6"/>
      <c r="M10" s="6"/>
      <c r="N10" s="5" t="s">
        <v>23</v>
      </c>
      <c r="O10" s="6">
        <f>IFERROR(__xludf.DUMMYFUNCTION("MEDIAN(FILTER(E:E, H:H=""incongruent"", G:G=1))
"),0.835689)</f>
        <v>0.835689</v>
      </c>
      <c r="P10" s="6"/>
    </row>
    <row r="11">
      <c r="A11" s="3" t="s">
        <v>19</v>
      </c>
      <c r="B11" s="3" t="s">
        <v>8</v>
      </c>
      <c r="C11" s="10" t="s">
        <v>8</v>
      </c>
      <c r="D11" s="11">
        <v>1.0</v>
      </c>
      <c r="E11" s="11">
        <v>0.778246</v>
      </c>
      <c r="F11" s="4">
        <f t="shared" si="1"/>
        <v>0</v>
      </c>
      <c r="G11" s="4">
        <f t="shared" si="2"/>
        <v>1</v>
      </c>
      <c r="H11" s="3" t="s">
        <v>9</v>
      </c>
      <c r="J11" s="6"/>
      <c r="K11" s="6"/>
      <c r="L11" s="6"/>
      <c r="M11" s="6"/>
      <c r="N11" s="6"/>
      <c r="O11" s="6"/>
      <c r="P11" s="6"/>
    </row>
    <row r="12">
      <c r="A12" s="3" t="s">
        <v>22</v>
      </c>
      <c r="B12" s="3" t="s">
        <v>13</v>
      </c>
      <c r="C12" s="10" t="s">
        <v>8</v>
      </c>
      <c r="D12" s="11">
        <v>1.0</v>
      </c>
      <c r="E12" s="11">
        <v>0.919472</v>
      </c>
      <c r="F12" s="4">
        <f t="shared" si="1"/>
        <v>0</v>
      </c>
      <c r="G12" s="4">
        <f t="shared" si="2"/>
        <v>1</v>
      </c>
      <c r="H12" s="3" t="s">
        <v>9</v>
      </c>
      <c r="J12" s="5" t="s">
        <v>26</v>
      </c>
      <c r="K12" s="6"/>
      <c r="L12" s="17">
        <f>IFERROR(__xludf.DUMMYFUNCTION("AVERAGE(FILTER(D:D, H:H=""congruent""))*100
"),88.0)</f>
        <v>88</v>
      </c>
      <c r="M12" s="6"/>
      <c r="N12" s="5" t="s">
        <v>27</v>
      </c>
      <c r="O12" s="6"/>
      <c r="P12" s="6">
        <f>IFERROR(__xludf.DUMMYFUNCTION("AVERAGE(FILTER(D:D, H:H=""incongruent""))*100
"),66.0)</f>
        <v>66</v>
      </c>
    </row>
    <row r="13">
      <c r="A13" s="3" t="s">
        <v>24</v>
      </c>
      <c r="B13" s="3" t="s">
        <v>8</v>
      </c>
      <c r="C13" s="10" t="s">
        <v>8</v>
      </c>
      <c r="D13" s="11">
        <v>1.0</v>
      </c>
      <c r="E13" s="11">
        <v>0.485575</v>
      </c>
      <c r="F13" s="4">
        <f t="shared" si="1"/>
        <v>0</v>
      </c>
      <c r="G13" s="4">
        <f t="shared" si="2"/>
        <v>1</v>
      </c>
      <c r="H13" s="3" t="s">
        <v>9</v>
      </c>
      <c r="L13" s="18"/>
    </row>
    <row r="14">
      <c r="A14" s="3" t="s">
        <v>25</v>
      </c>
      <c r="B14" s="3" t="s">
        <v>8</v>
      </c>
      <c r="C14" s="10" t="s">
        <v>13</v>
      </c>
      <c r="D14" s="11">
        <v>1.0</v>
      </c>
      <c r="E14" s="11">
        <v>0.552807</v>
      </c>
      <c r="F14" s="4">
        <f t="shared" si="1"/>
        <v>0</v>
      </c>
      <c r="G14" s="4">
        <f t="shared" si="2"/>
        <v>1</v>
      </c>
      <c r="H14" s="3" t="s">
        <v>9</v>
      </c>
      <c r="L14" s="3" t="s">
        <v>105</v>
      </c>
      <c r="M14" s="4">
        <f>O10-K10</f>
        <v>-0.019714</v>
      </c>
    </row>
    <row r="15">
      <c r="A15" s="3" t="s">
        <v>28</v>
      </c>
      <c r="B15" s="3" t="s">
        <v>13</v>
      </c>
      <c r="C15" s="10" t="s">
        <v>8</v>
      </c>
      <c r="D15" s="11">
        <v>1.0</v>
      </c>
      <c r="E15" s="11">
        <v>0.846847</v>
      </c>
      <c r="F15" s="4">
        <f t="shared" si="1"/>
        <v>0</v>
      </c>
      <c r="G15" s="4">
        <f t="shared" si="2"/>
        <v>1</v>
      </c>
      <c r="H15" s="3" t="s">
        <v>9</v>
      </c>
    </row>
    <row r="16">
      <c r="A16" s="3" t="s">
        <v>29</v>
      </c>
      <c r="B16" s="3" t="s">
        <v>13</v>
      </c>
      <c r="C16" s="10" t="s">
        <v>13</v>
      </c>
      <c r="D16" s="11">
        <v>1.0</v>
      </c>
      <c r="E16" s="11">
        <v>2.25163</v>
      </c>
      <c r="F16" s="4">
        <f t="shared" si="1"/>
        <v>0</v>
      </c>
      <c r="G16" s="4">
        <f t="shared" si="2"/>
        <v>1</v>
      </c>
      <c r="H16" s="3" t="s">
        <v>9</v>
      </c>
    </row>
    <row r="17">
      <c r="A17" s="3" t="s">
        <v>30</v>
      </c>
      <c r="B17" s="3" t="s">
        <v>8</v>
      </c>
      <c r="C17" s="10" t="s">
        <v>13</v>
      </c>
      <c r="D17" s="12">
        <v>0.0</v>
      </c>
      <c r="E17" s="11">
        <v>0.652571</v>
      </c>
      <c r="F17" s="4">
        <f t="shared" si="1"/>
        <v>0</v>
      </c>
      <c r="G17" s="15">
        <f t="shared" si="2"/>
        <v>0</v>
      </c>
      <c r="H17" s="3" t="s">
        <v>9</v>
      </c>
    </row>
    <row r="18">
      <c r="A18" s="3" t="s">
        <v>32</v>
      </c>
      <c r="B18" s="3" t="s">
        <v>13</v>
      </c>
      <c r="C18" s="10" t="s">
        <v>8</v>
      </c>
      <c r="D18" s="12">
        <v>0.0</v>
      </c>
      <c r="E18" s="11">
        <v>0.742862</v>
      </c>
      <c r="F18" s="4">
        <f t="shared" si="1"/>
        <v>0</v>
      </c>
      <c r="G18" s="15">
        <f t="shared" si="2"/>
        <v>0</v>
      </c>
      <c r="H18" s="3" t="s">
        <v>9</v>
      </c>
    </row>
    <row r="19">
      <c r="A19" s="3" t="s">
        <v>33</v>
      </c>
      <c r="B19" s="3" t="s">
        <v>8</v>
      </c>
      <c r="C19" s="10" t="s">
        <v>8</v>
      </c>
      <c r="D19" s="11">
        <v>1.0</v>
      </c>
      <c r="E19" s="11">
        <v>0.91256</v>
      </c>
      <c r="F19" s="4">
        <f t="shared" si="1"/>
        <v>0</v>
      </c>
      <c r="G19" s="4">
        <f t="shared" si="2"/>
        <v>1</v>
      </c>
      <c r="H19" s="3" t="s">
        <v>9</v>
      </c>
    </row>
    <row r="20">
      <c r="A20" s="3" t="s">
        <v>34</v>
      </c>
      <c r="B20" s="3" t="s">
        <v>8</v>
      </c>
      <c r="C20" s="10" t="s">
        <v>13</v>
      </c>
      <c r="D20" s="11">
        <v>1.0</v>
      </c>
      <c r="E20" s="11">
        <v>0.680986</v>
      </c>
      <c r="F20" s="4">
        <f t="shared" si="1"/>
        <v>0</v>
      </c>
      <c r="G20" s="4">
        <f t="shared" si="2"/>
        <v>1</v>
      </c>
      <c r="H20" s="3" t="s">
        <v>9</v>
      </c>
    </row>
    <row r="21">
      <c r="A21" s="3" t="s">
        <v>35</v>
      </c>
      <c r="B21" s="3" t="s">
        <v>13</v>
      </c>
      <c r="C21" s="10" t="s">
        <v>13</v>
      </c>
      <c r="D21" s="11">
        <v>1.0</v>
      </c>
      <c r="E21" s="11">
        <v>0.881704</v>
      </c>
      <c r="F21" s="4">
        <f t="shared" si="1"/>
        <v>0</v>
      </c>
      <c r="G21" s="4">
        <f t="shared" si="2"/>
        <v>1</v>
      </c>
      <c r="H21" s="3" t="s">
        <v>9</v>
      </c>
    </row>
    <row r="22">
      <c r="A22" s="3" t="s">
        <v>36</v>
      </c>
      <c r="B22" s="3" t="s">
        <v>13</v>
      </c>
      <c r="C22" s="10" t="s">
        <v>8</v>
      </c>
      <c r="D22" s="11">
        <v>1.0</v>
      </c>
      <c r="E22" s="11">
        <v>0.776479</v>
      </c>
      <c r="F22" s="4">
        <f t="shared" si="1"/>
        <v>0</v>
      </c>
      <c r="G22" s="4">
        <f t="shared" si="2"/>
        <v>1</v>
      </c>
      <c r="H22" s="3" t="s">
        <v>9</v>
      </c>
    </row>
    <row r="23">
      <c r="A23" s="3" t="s">
        <v>37</v>
      </c>
      <c r="B23" s="3" t="s">
        <v>13</v>
      </c>
      <c r="C23" s="10" t="s">
        <v>8</v>
      </c>
      <c r="D23" s="11">
        <v>1.0</v>
      </c>
      <c r="E23" s="11">
        <v>2.632477</v>
      </c>
      <c r="F23" s="4">
        <f t="shared" si="1"/>
        <v>0</v>
      </c>
      <c r="G23" s="4">
        <f t="shared" si="2"/>
        <v>1</v>
      </c>
      <c r="H23" s="3" t="s">
        <v>9</v>
      </c>
    </row>
    <row r="24">
      <c r="A24" s="3" t="s">
        <v>38</v>
      </c>
      <c r="B24" s="3" t="s">
        <v>13</v>
      </c>
      <c r="C24" s="10" t="s">
        <v>13</v>
      </c>
      <c r="D24" s="11">
        <v>1.0</v>
      </c>
      <c r="E24" s="11">
        <v>1.264354</v>
      </c>
      <c r="F24" s="4">
        <f t="shared" si="1"/>
        <v>0</v>
      </c>
      <c r="G24" s="4">
        <f t="shared" si="2"/>
        <v>1</v>
      </c>
      <c r="H24" s="3" t="s">
        <v>9</v>
      </c>
    </row>
    <row r="25">
      <c r="A25" s="3" t="s">
        <v>39</v>
      </c>
      <c r="B25" s="3" t="s">
        <v>13</v>
      </c>
      <c r="C25" s="10" t="s">
        <v>8</v>
      </c>
      <c r="D25" s="12">
        <v>0.0</v>
      </c>
      <c r="E25" s="11">
        <v>1.461962</v>
      </c>
      <c r="F25" s="4">
        <f t="shared" si="1"/>
        <v>0</v>
      </c>
      <c r="G25" s="15">
        <f t="shared" si="2"/>
        <v>0</v>
      </c>
      <c r="H25" s="3" t="s">
        <v>9</v>
      </c>
    </row>
    <row r="26">
      <c r="A26" s="3" t="s">
        <v>40</v>
      </c>
      <c r="B26" s="3" t="s">
        <v>13</v>
      </c>
      <c r="C26" s="10" t="s">
        <v>13</v>
      </c>
      <c r="D26" s="11">
        <v>1.0</v>
      </c>
      <c r="E26" s="11">
        <v>3.960202</v>
      </c>
      <c r="F26" s="4">
        <f t="shared" si="1"/>
        <v>0</v>
      </c>
      <c r="G26" s="4">
        <f t="shared" si="2"/>
        <v>1</v>
      </c>
      <c r="H26" s="3" t="s">
        <v>9</v>
      </c>
    </row>
    <row r="27">
      <c r="A27" s="3" t="s">
        <v>41</v>
      </c>
      <c r="B27" s="3" t="s">
        <v>13</v>
      </c>
      <c r="C27" s="10" t="s">
        <v>13</v>
      </c>
      <c r="D27" s="11">
        <v>1.0</v>
      </c>
      <c r="E27" s="11">
        <v>0.889024</v>
      </c>
      <c r="F27" s="4">
        <f t="shared" si="1"/>
        <v>0</v>
      </c>
      <c r="G27" s="4">
        <f t="shared" si="2"/>
        <v>1</v>
      </c>
      <c r="H27" s="3" t="s">
        <v>9</v>
      </c>
    </row>
    <row r="28">
      <c r="A28" s="3" t="s">
        <v>42</v>
      </c>
      <c r="B28" s="3" t="s">
        <v>13</v>
      </c>
      <c r="C28" s="10" t="s">
        <v>13</v>
      </c>
      <c r="D28" s="11">
        <v>1.0</v>
      </c>
      <c r="E28" s="11">
        <v>0.813851</v>
      </c>
      <c r="F28" s="4">
        <f t="shared" si="1"/>
        <v>0</v>
      </c>
      <c r="G28" s="4">
        <f t="shared" si="2"/>
        <v>1</v>
      </c>
      <c r="H28" s="3" t="s">
        <v>9</v>
      </c>
    </row>
    <row r="29">
      <c r="A29" s="3" t="s">
        <v>43</v>
      </c>
      <c r="B29" s="3" t="s">
        <v>8</v>
      </c>
      <c r="C29" s="10" t="s">
        <v>8</v>
      </c>
      <c r="D29" s="11">
        <v>1.0</v>
      </c>
      <c r="E29" s="11">
        <v>1.450286</v>
      </c>
      <c r="F29" s="4">
        <f t="shared" si="1"/>
        <v>0</v>
      </c>
      <c r="G29" s="4">
        <f t="shared" si="2"/>
        <v>1</v>
      </c>
      <c r="H29" s="3" t="s">
        <v>9</v>
      </c>
    </row>
    <row r="30">
      <c r="A30" s="3" t="s">
        <v>44</v>
      </c>
      <c r="B30" s="3" t="s">
        <v>8</v>
      </c>
      <c r="C30" s="10" t="s">
        <v>8</v>
      </c>
      <c r="D30" s="11">
        <v>1.0</v>
      </c>
      <c r="E30" s="11">
        <v>0.863959</v>
      </c>
      <c r="F30" s="4">
        <f t="shared" si="1"/>
        <v>0</v>
      </c>
      <c r="G30" s="4">
        <f t="shared" si="2"/>
        <v>1</v>
      </c>
      <c r="H30" s="3" t="s">
        <v>9</v>
      </c>
    </row>
    <row r="31">
      <c r="A31" s="3" t="s">
        <v>45</v>
      </c>
      <c r="B31" s="3" t="s">
        <v>13</v>
      </c>
      <c r="C31" s="10" t="s">
        <v>13</v>
      </c>
      <c r="D31" s="11">
        <v>1.0</v>
      </c>
      <c r="E31" s="11">
        <v>1.469992</v>
      </c>
      <c r="F31" s="4">
        <f t="shared" si="1"/>
        <v>0</v>
      </c>
      <c r="G31" s="4">
        <f t="shared" si="2"/>
        <v>1</v>
      </c>
      <c r="H31" s="3" t="s">
        <v>9</v>
      </c>
    </row>
    <row r="32">
      <c r="A32" s="3" t="s">
        <v>46</v>
      </c>
      <c r="B32" s="3" t="s">
        <v>13</v>
      </c>
      <c r="C32" s="10" t="s">
        <v>13</v>
      </c>
      <c r="D32" s="11">
        <v>1.0</v>
      </c>
      <c r="E32" s="11">
        <v>0.778191</v>
      </c>
      <c r="F32" s="4">
        <f t="shared" si="1"/>
        <v>0</v>
      </c>
      <c r="G32" s="4">
        <f t="shared" si="2"/>
        <v>1</v>
      </c>
      <c r="H32" s="3" t="s">
        <v>9</v>
      </c>
    </row>
    <row r="33">
      <c r="A33" s="3" t="s">
        <v>47</v>
      </c>
      <c r="B33" s="3" t="s">
        <v>8</v>
      </c>
      <c r="C33" s="10" t="s">
        <v>13</v>
      </c>
      <c r="D33" s="11">
        <v>1.0</v>
      </c>
      <c r="E33" s="11">
        <v>0.651694</v>
      </c>
      <c r="F33" s="4">
        <f t="shared" si="1"/>
        <v>0</v>
      </c>
      <c r="G33" s="4">
        <f t="shared" si="2"/>
        <v>1</v>
      </c>
      <c r="H33" s="3" t="s">
        <v>9</v>
      </c>
    </row>
    <row r="34">
      <c r="A34" s="3" t="s">
        <v>48</v>
      </c>
      <c r="B34" s="3" t="s">
        <v>8</v>
      </c>
      <c r="C34" s="10" t="s">
        <v>13</v>
      </c>
      <c r="D34" s="11">
        <v>1.0</v>
      </c>
      <c r="E34" s="11">
        <v>0.867819</v>
      </c>
      <c r="F34" s="4">
        <f t="shared" si="1"/>
        <v>0</v>
      </c>
      <c r="G34" s="4">
        <f t="shared" si="2"/>
        <v>1</v>
      </c>
      <c r="H34" s="3" t="s">
        <v>9</v>
      </c>
    </row>
    <row r="35">
      <c r="A35" s="3" t="s">
        <v>49</v>
      </c>
      <c r="B35" s="3" t="s">
        <v>13</v>
      </c>
      <c r="C35" s="10" t="s">
        <v>8</v>
      </c>
      <c r="D35" s="12">
        <v>0.0</v>
      </c>
      <c r="E35" s="11">
        <v>0.823813</v>
      </c>
      <c r="F35" s="4">
        <f t="shared" si="1"/>
        <v>0</v>
      </c>
      <c r="G35" s="15">
        <f t="shared" si="2"/>
        <v>0</v>
      </c>
      <c r="H35" s="3" t="s">
        <v>9</v>
      </c>
    </row>
    <row r="36">
      <c r="A36" s="3" t="s">
        <v>50</v>
      </c>
      <c r="B36" s="3" t="s">
        <v>13</v>
      </c>
      <c r="C36" s="10" t="s">
        <v>13</v>
      </c>
      <c r="D36" s="11">
        <v>1.0</v>
      </c>
      <c r="E36" s="11">
        <v>1.461963</v>
      </c>
      <c r="F36" s="4">
        <f t="shared" si="1"/>
        <v>0</v>
      </c>
      <c r="G36" s="4">
        <f t="shared" si="2"/>
        <v>1</v>
      </c>
      <c r="H36" s="3" t="s">
        <v>9</v>
      </c>
    </row>
    <row r="37">
      <c r="A37" s="3" t="s">
        <v>51</v>
      </c>
      <c r="B37" s="3" t="s">
        <v>8</v>
      </c>
      <c r="C37" s="10" t="s">
        <v>8</v>
      </c>
      <c r="D37" s="11">
        <v>1.0</v>
      </c>
      <c r="E37" s="11">
        <v>0.718089</v>
      </c>
      <c r="F37" s="4">
        <f t="shared" si="1"/>
        <v>0</v>
      </c>
      <c r="G37" s="4">
        <f t="shared" si="2"/>
        <v>1</v>
      </c>
      <c r="H37" s="3" t="s">
        <v>9</v>
      </c>
    </row>
    <row r="38">
      <c r="A38" s="3" t="s">
        <v>52</v>
      </c>
      <c r="B38" s="3" t="s">
        <v>8</v>
      </c>
      <c r="C38" s="10" t="s">
        <v>8</v>
      </c>
      <c r="D38" s="11">
        <v>1.0</v>
      </c>
      <c r="E38" s="11">
        <v>1.468763</v>
      </c>
      <c r="F38" s="4">
        <f t="shared" si="1"/>
        <v>0</v>
      </c>
      <c r="G38" s="4">
        <f t="shared" si="2"/>
        <v>1</v>
      </c>
      <c r="H38" s="3" t="s">
        <v>9</v>
      </c>
    </row>
    <row r="39">
      <c r="A39" s="3" t="s">
        <v>53</v>
      </c>
      <c r="B39" s="3" t="s">
        <v>8</v>
      </c>
      <c r="C39" s="10" t="s">
        <v>8</v>
      </c>
      <c r="D39" s="11">
        <v>1.0</v>
      </c>
      <c r="E39" s="11">
        <v>0.794185</v>
      </c>
      <c r="F39" s="4">
        <f t="shared" si="1"/>
        <v>0</v>
      </c>
      <c r="G39" s="4">
        <f t="shared" si="2"/>
        <v>1</v>
      </c>
      <c r="H39" s="3" t="s">
        <v>9</v>
      </c>
    </row>
    <row r="40">
      <c r="A40" s="3" t="s">
        <v>54</v>
      </c>
      <c r="B40" s="3" t="s">
        <v>13</v>
      </c>
      <c r="C40" s="10" t="s">
        <v>8</v>
      </c>
      <c r="D40" s="12">
        <v>0.0</v>
      </c>
      <c r="E40" s="11">
        <v>0.902534</v>
      </c>
      <c r="F40" s="4">
        <f t="shared" si="1"/>
        <v>0</v>
      </c>
      <c r="G40" s="15">
        <f t="shared" si="2"/>
        <v>0</v>
      </c>
      <c r="H40" s="3" t="s">
        <v>9</v>
      </c>
    </row>
    <row r="41">
      <c r="A41" s="3" t="s">
        <v>55</v>
      </c>
      <c r="B41" s="3" t="s">
        <v>8</v>
      </c>
      <c r="C41" s="10" t="s">
        <v>8</v>
      </c>
      <c r="D41" s="11">
        <v>1.0</v>
      </c>
      <c r="E41" s="11">
        <v>0.889577</v>
      </c>
      <c r="F41" s="4">
        <f t="shared" si="1"/>
        <v>0</v>
      </c>
      <c r="G41" s="4">
        <f t="shared" si="2"/>
        <v>1</v>
      </c>
      <c r="H41" s="3" t="s">
        <v>9</v>
      </c>
    </row>
    <row r="42">
      <c r="A42" s="3" t="s">
        <v>56</v>
      </c>
      <c r="B42" s="3" t="s">
        <v>13</v>
      </c>
      <c r="C42" s="10" t="s">
        <v>8</v>
      </c>
      <c r="D42" s="11">
        <v>1.0</v>
      </c>
      <c r="E42" s="11">
        <v>0.526018</v>
      </c>
      <c r="F42" s="4">
        <f t="shared" si="1"/>
        <v>0</v>
      </c>
      <c r="G42" s="4">
        <f t="shared" si="2"/>
        <v>1</v>
      </c>
      <c r="H42" s="3" t="s">
        <v>9</v>
      </c>
    </row>
    <row r="43">
      <c r="A43" s="3" t="s">
        <v>57</v>
      </c>
      <c r="B43" s="3" t="s">
        <v>8</v>
      </c>
      <c r="C43" s="10" t="s">
        <v>13</v>
      </c>
      <c r="D43" s="11">
        <v>1.0</v>
      </c>
      <c r="E43" s="11">
        <v>0.691122</v>
      </c>
      <c r="F43" s="4">
        <f t="shared" si="1"/>
        <v>0</v>
      </c>
      <c r="G43" s="4">
        <f t="shared" si="2"/>
        <v>1</v>
      </c>
      <c r="H43" s="3" t="s">
        <v>9</v>
      </c>
    </row>
    <row r="44">
      <c r="A44" s="3" t="s">
        <v>58</v>
      </c>
      <c r="B44" s="3" t="s">
        <v>8</v>
      </c>
      <c r="C44" s="10" t="s">
        <v>13</v>
      </c>
      <c r="D44" s="11">
        <v>1.0</v>
      </c>
      <c r="E44" s="11">
        <v>1.012521</v>
      </c>
      <c r="F44" s="4">
        <f t="shared" si="1"/>
        <v>0</v>
      </c>
      <c r="G44" s="4">
        <f t="shared" si="2"/>
        <v>1</v>
      </c>
      <c r="H44" s="3" t="s">
        <v>9</v>
      </c>
    </row>
    <row r="45">
      <c r="A45" s="3" t="s">
        <v>59</v>
      </c>
      <c r="B45" s="3" t="s">
        <v>8</v>
      </c>
      <c r="C45" s="10" t="s">
        <v>13</v>
      </c>
      <c r="D45" s="11">
        <v>1.0</v>
      </c>
      <c r="E45" s="11">
        <v>0.605828</v>
      </c>
      <c r="F45" s="4">
        <f t="shared" si="1"/>
        <v>0</v>
      </c>
      <c r="G45" s="4">
        <f t="shared" si="2"/>
        <v>1</v>
      </c>
      <c r="H45" s="3" t="s">
        <v>9</v>
      </c>
    </row>
    <row r="46">
      <c r="A46" s="3" t="s">
        <v>60</v>
      </c>
      <c r="B46" s="3" t="s">
        <v>8</v>
      </c>
      <c r="C46" s="10" t="s">
        <v>8</v>
      </c>
      <c r="D46" s="11">
        <v>1.0</v>
      </c>
      <c r="E46" s="11">
        <v>0.738619</v>
      </c>
      <c r="F46" s="4">
        <f t="shared" si="1"/>
        <v>0</v>
      </c>
      <c r="G46" s="4">
        <f t="shared" si="2"/>
        <v>1</v>
      </c>
      <c r="H46" s="3" t="s">
        <v>9</v>
      </c>
    </row>
    <row r="47">
      <c r="A47" s="3" t="s">
        <v>61</v>
      </c>
      <c r="B47" s="3" t="s">
        <v>8</v>
      </c>
      <c r="C47" s="10" t="s">
        <v>13</v>
      </c>
      <c r="D47" s="11">
        <v>1.0</v>
      </c>
      <c r="E47" s="11">
        <v>1.012988</v>
      </c>
      <c r="F47" s="4">
        <f t="shared" si="1"/>
        <v>0</v>
      </c>
      <c r="G47" s="4">
        <f t="shared" si="2"/>
        <v>1</v>
      </c>
      <c r="H47" s="3" t="s">
        <v>9</v>
      </c>
    </row>
    <row r="48">
      <c r="A48" s="3" t="s">
        <v>62</v>
      </c>
      <c r="B48" s="3" t="s">
        <v>8</v>
      </c>
      <c r="C48" s="10" t="s">
        <v>8</v>
      </c>
      <c r="D48" s="11">
        <v>1.0</v>
      </c>
      <c r="E48" s="11">
        <v>0.649154</v>
      </c>
      <c r="F48" s="4">
        <f t="shared" si="1"/>
        <v>0</v>
      </c>
      <c r="G48" s="4">
        <f t="shared" si="2"/>
        <v>1</v>
      </c>
      <c r="H48" s="3" t="s">
        <v>9</v>
      </c>
    </row>
    <row r="49">
      <c r="A49" s="3" t="s">
        <v>63</v>
      </c>
      <c r="B49" s="3" t="s">
        <v>8</v>
      </c>
      <c r="C49" s="10" t="s">
        <v>8</v>
      </c>
      <c r="D49" s="11">
        <v>1.0</v>
      </c>
      <c r="E49" s="11">
        <v>2.267754</v>
      </c>
      <c r="F49" s="4">
        <f t="shared" si="1"/>
        <v>0</v>
      </c>
      <c r="G49" s="4">
        <f t="shared" si="2"/>
        <v>1</v>
      </c>
      <c r="H49" s="3" t="s">
        <v>9</v>
      </c>
    </row>
    <row r="50">
      <c r="A50" s="3" t="s">
        <v>64</v>
      </c>
      <c r="B50" s="3" t="s">
        <v>13</v>
      </c>
      <c r="C50" s="10" t="s">
        <v>8</v>
      </c>
      <c r="D50" s="11">
        <v>1.0</v>
      </c>
      <c r="E50" s="11">
        <v>1.165741</v>
      </c>
      <c r="F50" s="4">
        <f t="shared" si="1"/>
        <v>0</v>
      </c>
      <c r="G50" s="4">
        <f t="shared" si="2"/>
        <v>1</v>
      </c>
      <c r="H50" s="3" t="s">
        <v>9</v>
      </c>
    </row>
    <row r="51">
      <c r="A51" s="3" t="s">
        <v>65</v>
      </c>
      <c r="B51" s="3" t="s">
        <v>13</v>
      </c>
      <c r="C51" s="10" t="s">
        <v>13</v>
      </c>
      <c r="D51" s="11">
        <v>1.0</v>
      </c>
      <c r="E51" s="11">
        <v>0.533158</v>
      </c>
      <c r="F51" s="4">
        <f t="shared" si="1"/>
        <v>0</v>
      </c>
      <c r="G51" s="4">
        <f t="shared" si="2"/>
        <v>1</v>
      </c>
      <c r="H51" s="3" t="s">
        <v>9</v>
      </c>
    </row>
    <row r="53">
      <c r="A53" s="14" t="s">
        <v>66</v>
      </c>
      <c r="B53" s="14" t="s">
        <v>8</v>
      </c>
      <c r="C53" s="10" t="s">
        <v>8</v>
      </c>
      <c r="D53" s="11">
        <v>1.0</v>
      </c>
      <c r="E53" s="11">
        <v>1.552865</v>
      </c>
      <c r="F53" s="4">
        <f t="shared" ref="F53:F102" si="3">IF(OR(E53 &lt; 0.2, E53 &gt; 5), 1, 0)</f>
        <v>0</v>
      </c>
      <c r="G53" s="4">
        <f t="shared" ref="G53:G102" si="4">IF(AND(D53=1, F53=0), 1, 0)</f>
        <v>1</v>
      </c>
      <c r="H53" s="3" t="s">
        <v>106</v>
      </c>
    </row>
    <row r="54">
      <c r="A54" s="14" t="s">
        <v>67</v>
      </c>
      <c r="B54" s="14" t="s">
        <v>8</v>
      </c>
      <c r="C54" s="10" t="s">
        <v>13</v>
      </c>
      <c r="D54" s="12">
        <v>0.0</v>
      </c>
      <c r="E54" s="11">
        <v>0.850996</v>
      </c>
      <c r="F54" s="4">
        <f t="shared" si="3"/>
        <v>0</v>
      </c>
      <c r="G54" s="15">
        <f t="shared" si="4"/>
        <v>0</v>
      </c>
      <c r="H54" s="3" t="s">
        <v>106</v>
      </c>
    </row>
    <row r="55">
      <c r="A55" s="14" t="s">
        <v>68</v>
      </c>
      <c r="B55" s="14" t="s">
        <v>8</v>
      </c>
      <c r="C55" s="10" t="s">
        <v>8</v>
      </c>
      <c r="D55" s="11">
        <v>1.0</v>
      </c>
      <c r="E55" s="11">
        <v>0.738311</v>
      </c>
      <c r="F55" s="4">
        <f t="shared" si="3"/>
        <v>0</v>
      </c>
      <c r="G55" s="4">
        <f t="shared" si="4"/>
        <v>1</v>
      </c>
      <c r="H55" s="3" t="s">
        <v>106</v>
      </c>
    </row>
    <row r="56">
      <c r="A56" s="14" t="s">
        <v>55</v>
      </c>
      <c r="B56" s="14" t="s">
        <v>13</v>
      </c>
      <c r="C56" s="10" t="s">
        <v>13</v>
      </c>
      <c r="D56" s="11">
        <v>1.0</v>
      </c>
      <c r="E56" s="11">
        <v>2.24508</v>
      </c>
      <c r="F56" s="4">
        <f t="shared" si="3"/>
        <v>0</v>
      </c>
      <c r="G56" s="4">
        <f t="shared" si="4"/>
        <v>1</v>
      </c>
      <c r="H56" s="3" t="s">
        <v>106</v>
      </c>
    </row>
    <row r="57">
      <c r="A57" s="14" t="s">
        <v>69</v>
      </c>
      <c r="B57" s="14" t="s">
        <v>13</v>
      </c>
      <c r="C57" s="10" t="s">
        <v>13</v>
      </c>
      <c r="D57" s="11">
        <v>1.0</v>
      </c>
      <c r="E57" s="11">
        <v>1.994138</v>
      </c>
      <c r="F57" s="4">
        <f t="shared" si="3"/>
        <v>0</v>
      </c>
      <c r="G57" s="4">
        <f t="shared" si="4"/>
        <v>1</v>
      </c>
      <c r="H57" s="3" t="s">
        <v>106</v>
      </c>
    </row>
    <row r="58">
      <c r="A58" s="14" t="s">
        <v>70</v>
      </c>
      <c r="B58" s="14" t="s">
        <v>13</v>
      </c>
      <c r="C58" s="10" t="s">
        <v>13</v>
      </c>
      <c r="D58" s="11">
        <v>1.0</v>
      </c>
      <c r="E58" s="11">
        <v>0.835689</v>
      </c>
      <c r="F58" s="4">
        <f t="shared" si="3"/>
        <v>0</v>
      </c>
      <c r="G58" s="4">
        <f t="shared" si="4"/>
        <v>1</v>
      </c>
      <c r="H58" s="3" t="s">
        <v>106</v>
      </c>
    </row>
    <row r="59">
      <c r="A59" s="14" t="s">
        <v>71</v>
      </c>
      <c r="B59" s="14" t="s">
        <v>8</v>
      </c>
      <c r="C59" s="10" t="s">
        <v>8</v>
      </c>
      <c r="D59" s="11">
        <v>1.0</v>
      </c>
      <c r="E59" s="11">
        <v>0.681041</v>
      </c>
      <c r="F59" s="4">
        <f t="shared" si="3"/>
        <v>0</v>
      </c>
      <c r="G59" s="4">
        <f t="shared" si="4"/>
        <v>1</v>
      </c>
      <c r="H59" s="3" t="s">
        <v>106</v>
      </c>
    </row>
    <row r="60">
      <c r="A60" s="14" t="s">
        <v>72</v>
      </c>
      <c r="B60" s="14" t="s">
        <v>8</v>
      </c>
      <c r="C60" s="10" t="s">
        <v>8</v>
      </c>
      <c r="D60" s="11">
        <v>1.0</v>
      </c>
      <c r="E60" s="11">
        <v>0.457213</v>
      </c>
      <c r="F60" s="4">
        <f t="shared" si="3"/>
        <v>0</v>
      </c>
      <c r="G60" s="4">
        <f t="shared" si="4"/>
        <v>1</v>
      </c>
      <c r="H60" s="3" t="s">
        <v>106</v>
      </c>
    </row>
    <row r="61">
      <c r="A61" s="14" t="s">
        <v>43</v>
      </c>
      <c r="B61" s="14" t="s">
        <v>13</v>
      </c>
      <c r="C61" s="10" t="s">
        <v>8</v>
      </c>
      <c r="D61" s="12">
        <v>0.0</v>
      </c>
      <c r="E61" s="11">
        <v>0.510243</v>
      </c>
      <c r="F61" s="4">
        <f t="shared" si="3"/>
        <v>0</v>
      </c>
      <c r="G61" s="15">
        <f t="shared" si="4"/>
        <v>0</v>
      </c>
      <c r="H61" s="3" t="s">
        <v>106</v>
      </c>
    </row>
    <row r="62">
      <c r="A62" s="14" t="s">
        <v>73</v>
      </c>
      <c r="B62" s="14" t="s">
        <v>8</v>
      </c>
      <c r="C62" s="10" t="s">
        <v>13</v>
      </c>
      <c r="D62" s="12">
        <v>0.0</v>
      </c>
      <c r="E62" s="11">
        <v>0.755545</v>
      </c>
      <c r="F62" s="4">
        <f t="shared" si="3"/>
        <v>0</v>
      </c>
      <c r="G62" s="15">
        <f t="shared" si="4"/>
        <v>0</v>
      </c>
      <c r="H62" s="3" t="s">
        <v>106</v>
      </c>
    </row>
    <row r="63">
      <c r="A63" s="14" t="s">
        <v>59</v>
      </c>
      <c r="B63" s="14" t="s">
        <v>13</v>
      </c>
      <c r="C63" s="10" t="s">
        <v>8</v>
      </c>
      <c r="D63" s="12">
        <v>0.0</v>
      </c>
      <c r="E63" s="11">
        <v>0.663852</v>
      </c>
      <c r="F63" s="4">
        <f t="shared" si="3"/>
        <v>0</v>
      </c>
      <c r="G63" s="15">
        <f t="shared" si="4"/>
        <v>0</v>
      </c>
      <c r="H63" s="3" t="s">
        <v>106</v>
      </c>
    </row>
    <row r="64">
      <c r="A64" s="14" t="s">
        <v>74</v>
      </c>
      <c r="B64" s="14" t="s">
        <v>8</v>
      </c>
      <c r="C64" s="10" t="s">
        <v>13</v>
      </c>
      <c r="D64" s="12">
        <v>0.0</v>
      </c>
      <c r="E64" s="11">
        <v>0.886287</v>
      </c>
      <c r="F64" s="4">
        <f t="shared" si="3"/>
        <v>0</v>
      </c>
      <c r="G64" s="15">
        <f t="shared" si="4"/>
        <v>0</v>
      </c>
      <c r="H64" s="3" t="s">
        <v>106</v>
      </c>
    </row>
    <row r="65">
      <c r="A65" s="14" t="s">
        <v>51</v>
      </c>
      <c r="B65" s="14" t="s">
        <v>13</v>
      </c>
      <c r="C65" s="10" t="s">
        <v>8</v>
      </c>
      <c r="D65" s="11">
        <v>1.0</v>
      </c>
      <c r="E65" s="11">
        <v>0.744067</v>
      </c>
      <c r="F65" s="4">
        <f t="shared" si="3"/>
        <v>0</v>
      </c>
      <c r="G65" s="4">
        <f t="shared" si="4"/>
        <v>1</v>
      </c>
      <c r="H65" s="3" t="s">
        <v>106</v>
      </c>
    </row>
    <row r="66">
      <c r="A66" s="14" t="s">
        <v>34</v>
      </c>
      <c r="B66" s="14" t="s">
        <v>13</v>
      </c>
      <c r="C66" s="10" t="s">
        <v>8</v>
      </c>
      <c r="D66" s="12">
        <v>0.0</v>
      </c>
      <c r="E66" s="11">
        <v>2.277532</v>
      </c>
      <c r="F66" s="4">
        <f t="shared" si="3"/>
        <v>0</v>
      </c>
      <c r="G66" s="15">
        <f t="shared" si="4"/>
        <v>0</v>
      </c>
      <c r="H66" s="3" t="s">
        <v>106</v>
      </c>
    </row>
    <row r="67">
      <c r="A67" s="14" t="s">
        <v>57</v>
      </c>
      <c r="B67" s="14" t="s">
        <v>13</v>
      </c>
      <c r="C67" s="10" t="s">
        <v>8</v>
      </c>
      <c r="D67" s="11">
        <v>1.0</v>
      </c>
      <c r="E67" s="11">
        <v>0.69742</v>
      </c>
      <c r="F67" s="4">
        <f t="shared" si="3"/>
        <v>0</v>
      </c>
      <c r="G67" s="4">
        <f t="shared" si="4"/>
        <v>1</v>
      </c>
      <c r="H67" s="3" t="s">
        <v>106</v>
      </c>
    </row>
    <row r="68">
      <c r="A68" s="14" t="s">
        <v>75</v>
      </c>
      <c r="B68" s="14" t="s">
        <v>8</v>
      </c>
      <c r="C68" s="10" t="s">
        <v>13</v>
      </c>
      <c r="D68" s="12">
        <v>0.0</v>
      </c>
      <c r="E68" s="11">
        <v>0.860799</v>
      </c>
      <c r="F68" s="4">
        <f t="shared" si="3"/>
        <v>0</v>
      </c>
      <c r="G68" s="15">
        <f t="shared" si="4"/>
        <v>0</v>
      </c>
      <c r="H68" s="3" t="s">
        <v>106</v>
      </c>
    </row>
    <row r="69">
      <c r="A69" s="14" t="s">
        <v>62</v>
      </c>
      <c r="B69" s="14" t="s">
        <v>13</v>
      </c>
      <c r="C69" s="10" t="s">
        <v>8</v>
      </c>
      <c r="D69" s="12">
        <v>0.0</v>
      </c>
      <c r="E69" s="11">
        <v>0.694057</v>
      </c>
      <c r="F69" s="4">
        <f t="shared" si="3"/>
        <v>0</v>
      </c>
      <c r="G69" s="15">
        <f t="shared" si="4"/>
        <v>0</v>
      </c>
      <c r="H69" s="3" t="s">
        <v>106</v>
      </c>
    </row>
    <row r="70">
      <c r="A70" s="14" t="s">
        <v>76</v>
      </c>
      <c r="B70" s="14" t="s">
        <v>8</v>
      </c>
      <c r="C70" s="10" t="s">
        <v>8</v>
      </c>
      <c r="D70" s="11">
        <v>1.0</v>
      </c>
      <c r="E70" s="11">
        <v>0.944435</v>
      </c>
      <c r="F70" s="4">
        <f t="shared" si="3"/>
        <v>0</v>
      </c>
      <c r="G70" s="4">
        <f t="shared" si="4"/>
        <v>1</v>
      </c>
      <c r="H70" s="3" t="s">
        <v>106</v>
      </c>
    </row>
    <row r="71">
      <c r="A71" s="14" t="s">
        <v>77</v>
      </c>
      <c r="B71" s="14" t="s">
        <v>8</v>
      </c>
      <c r="C71" s="10" t="s">
        <v>8</v>
      </c>
      <c r="D71" s="11">
        <v>1.0</v>
      </c>
      <c r="E71" s="11">
        <v>0.961864</v>
      </c>
      <c r="F71" s="4">
        <f t="shared" si="3"/>
        <v>0</v>
      </c>
      <c r="G71" s="4">
        <f t="shared" si="4"/>
        <v>1</v>
      </c>
      <c r="H71" s="3" t="s">
        <v>106</v>
      </c>
    </row>
    <row r="72">
      <c r="A72" s="14" t="s">
        <v>52</v>
      </c>
      <c r="B72" s="14" t="s">
        <v>13</v>
      </c>
      <c r="C72" s="10" t="s">
        <v>13</v>
      </c>
      <c r="D72" s="11">
        <v>1.0</v>
      </c>
      <c r="E72" s="11">
        <v>0.871891</v>
      </c>
      <c r="F72" s="4">
        <f t="shared" si="3"/>
        <v>0</v>
      </c>
      <c r="G72" s="4">
        <f t="shared" si="4"/>
        <v>1</v>
      </c>
      <c r="H72" s="3" t="s">
        <v>106</v>
      </c>
    </row>
    <row r="73">
      <c r="A73" s="14" t="s">
        <v>7</v>
      </c>
      <c r="B73" s="14" t="s">
        <v>13</v>
      </c>
      <c r="C73" s="10" t="s">
        <v>8</v>
      </c>
      <c r="D73" s="11">
        <v>1.0</v>
      </c>
      <c r="E73" s="11">
        <v>1.051405</v>
      </c>
      <c r="F73" s="4">
        <f t="shared" si="3"/>
        <v>0</v>
      </c>
      <c r="G73" s="4">
        <f t="shared" si="4"/>
        <v>1</v>
      </c>
      <c r="H73" s="3" t="s">
        <v>106</v>
      </c>
    </row>
    <row r="74">
      <c r="A74" s="14" t="s">
        <v>78</v>
      </c>
      <c r="B74" s="14" t="s">
        <v>8</v>
      </c>
      <c r="C74" s="10" t="s">
        <v>8</v>
      </c>
      <c r="D74" s="11">
        <v>1.0</v>
      </c>
      <c r="E74" s="11">
        <v>0.879938</v>
      </c>
      <c r="F74" s="4">
        <f t="shared" si="3"/>
        <v>0</v>
      </c>
      <c r="G74" s="4">
        <f t="shared" si="4"/>
        <v>1</v>
      </c>
      <c r="H74" s="3" t="s">
        <v>106</v>
      </c>
    </row>
    <row r="75">
      <c r="A75" s="14" t="s">
        <v>79</v>
      </c>
      <c r="B75" s="14" t="s">
        <v>13</v>
      </c>
      <c r="C75" s="10" t="s">
        <v>13</v>
      </c>
      <c r="D75" s="11">
        <v>1.0</v>
      </c>
      <c r="E75" s="11">
        <v>0.687575</v>
      </c>
      <c r="F75" s="4">
        <f t="shared" si="3"/>
        <v>0</v>
      </c>
      <c r="G75" s="4">
        <f t="shared" si="4"/>
        <v>1</v>
      </c>
      <c r="H75" s="3" t="s">
        <v>106</v>
      </c>
    </row>
    <row r="76">
      <c r="A76" s="14" t="s">
        <v>80</v>
      </c>
      <c r="B76" s="14" t="s">
        <v>8</v>
      </c>
      <c r="C76" s="10" t="s">
        <v>8</v>
      </c>
      <c r="D76" s="11">
        <v>1.0</v>
      </c>
      <c r="E76" s="11">
        <v>4.213445</v>
      </c>
      <c r="F76" s="4">
        <f t="shared" si="3"/>
        <v>0</v>
      </c>
      <c r="G76" s="4">
        <f t="shared" si="4"/>
        <v>1</v>
      </c>
      <c r="H76" s="3" t="s">
        <v>106</v>
      </c>
    </row>
    <row r="77">
      <c r="A77" s="14" t="s">
        <v>33</v>
      </c>
      <c r="B77" s="14" t="s">
        <v>13</v>
      </c>
      <c r="C77" s="10" t="s">
        <v>8</v>
      </c>
      <c r="D77" s="11">
        <v>1.0</v>
      </c>
      <c r="E77" s="11">
        <v>0.614369</v>
      </c>
      <c r="F77" s="4">
        <f t="shared" si="3"/>
        <v>0</v>
      </c>
      <c r="G77" s="4">
        <f t="shared" si="4"/>
        <v>1</v>
      </c>
      <c r="H77" s="3" t="s">
        <v>106</v>
      </c>
    </row>
    <row r="78">
      <c r="A78" s="14" t="s">
        <v>81</v>
      </c>
      <c r="B78" s="14" t="s">
        <v>13</v>
      </c>
      <c r="C78" s="10" t="s">
        <v>13</v>
      </c>
      <c r="D78" s="11">
        <v>1.0</v>
      </c>
      <c r="E78" s="11">
        <v>2.38549</v>
      </c>
      <c r="F78" s="4">
        <f t="shared" si="3"/>
        <v>0</v>
      </c>
      <c r="G78" s="4">
        <f t="shared" si="4"/>
        <v>1</v>
      </c>
      <c r="H78" s="3" t="s">
        <v>106</v>
      </c>
    </row>
    <row r="79">
      <c r="A79" s="14" t="s">
        <v>82</v>
      </c>
      <c r="B79" s="14" t="s">
        <v>13</v>
      </c>
      <c r="C79" s="10" t="s">
        <v>8</v>
      </c>
      <c r="D79" s="12">
        <v>0.0</v>
      </c>
      <c r="E79" s="11">
        <v>0.698124</v>
      </c>
      <c r="F79" s="4">
        <f t="shared" si="3"/>
        <v>0</v>
      </c>
      <c r="G79" s="15">
        <f t="shared" si="4"/>
        <v>0</v>
      </c>
      <c r="H79" s="3" t="s">
        <v>106</v>
      </c>
    </row>
    <row r="80">
      <c r="A80" s="14" t="s">
        <v>47</v>
      </c>
      <c r="B80" s="14" t="s">
        <v>13</v>
      </c>
      <c r="C80" s="10" t="s">
        <v>13</v>
      </c>
      <c r="D80" s="11">
        <v>1.0</v>
      </c>
      <c r="E80" s="11">
        <v>2.047846</v>
      </c>
      <c r="F80" s="4">
        <f t="shared" si="3"/>
        <v>0</v>
      </c>
      <c r="G80" s="4">
        <f t="shared" si="4"/>
        <v>1</v>
      </c>
      <c r="H80" s="3" t="s">
        <v>106</v>
      </c>
    </row>
    <row r="81">
      <c r="A81" s="14" t="s">
        <v>83</v>
      </c>
      <c r="B81" s="14" t="s">
        <v>8</v>
      </c>
      <c r="C81" s="10" t="s">
        <v>8</v>
      </c>
      <c r="D81" s="11">
        <v>1.0</v>
      </c>
      <c r="E81" s="11">
        <v>2.207725</v>
      </c>
      <c r="F81" s="4">
        <f t="shared" si="3"/>
        <v>0</v>
      </c>
      <c r="G81" s="4">
        <f t="shared" si="4"/>
        <v>1</v>
      </c>
      <c r="H81" s="3" t="s">
        <v>106</v>
      </c>
    </row>
    <row r="82">
      <c r="A82" s="14" t="s">
        <v>25</v>
      </c>
      <c r="B82" s="14" t="s">
        <v>13</v>
      </c>
      <c r="C82" s="10" t="s">
        <v>13</v>
      </c>
      <c r="D82" s="11">
        <v>1.0</v>
      </c>
      <c r="E82" s="11">
        <v>2.885376</v>
      </c>
      <c r="F82" s="4">
        <f t="shared" si="3"/>
        <v>0</v>
      </c>
      <c r="G82" s="4">
        <f t="shared" si="4"/>
        <v>1</v>
      </c>
      <c r="H82" s="3" t="s">
        <v>106</v>
      </c>
    </row>
    <row r="83">
      <c r="A83" s="14" t="s">
        <v>24</v>
      </c>
      <c r="B83" s="14" t="s">
        <v>13</v>
      </c>
      <c r="C83" s="10" t="s">
        <v>8</v>
      </c>
      <c r="D83" s="12">
        <v>0.0</v>
      </c>
      <c r="E83" s="11">
        <v>1.397486</v>
      </c>
      <c r="F83" s="4">
        <f t="shared" si="3"/>
        <v>0</v>
      </c>
      <c r="G83" s="15">
        <f t="shared" si="4"/>
        <v>0</v>
      </c>
      <c r="H83" s="3" t="s">
        <v>106</v>
      </c>
    </row>
    <row r="84">
      <c r="A84" s="14" t="s">
        <v>84</v>
      </c>
      <c r="B84" s="14" t="s">
        <v>8</v>
      </c>
      <c r="C84" s="10" t="s">
        <v>8</v>
      </c>
      <c r="D84" s="11">
        <v>1.0</v>
      </c>
      <c r="E84" s="11">
        <v>0.542321</v>
      </c>
      <c r="F84" s="4">
        <f t="shared" si="3"/>
        <v>0</v>
      </c>
      <c r="G84" s="4">
        <f t="shared" si="4"/>
        <v>1</v>
      </c>
      <c r="H84" s="3" t="s">
        <v>106</v>
      </c>
    </row>
    <row r="85">
      <c r="A85" s="14" t="s">
        <v>11</v>
      </c>
      <c r="B85" s="14" t="s">
        <v>13</v>
      </c>
      <c r="C85" s="10" t="s">
        <v>8</v>
      </c>
      <c r="D85" s="12">
        <v>0.0</v>
      </c>
      <c r="E85" s="11">
        <v>1.139534</v>
      </c>
      <c r="F85" s="4">
        <f t="shared" si="3"/>
        <v>0</v>
      </c>
      <c r="G85" s="15">
        <f t="shared" si="4"/>
        <v>0</v>
      </c>
      <c r="H85" s="3" t="s">
        <v>106</v>
      </c>
    </row>
    <row r="86">
      <c r="A86" s="14" t="s">
        <v>53</v>
      </c>
      <c r="B86" s="14" t="s">
        <v>13</v>
      </c>
      <c r="C86" s="10" t="s">
        <v>8</v>
      </c>
      <c r="D86" s="12">
        <v>0.0</v>
      </c>
      <c r="E86" s="11">
        <v>1.215054</v>
      </c>
      <c r="F86" s="4">
        <f t="shared" si="3"/>
        <v>0</v>
      </c>
      <c r="G86" s="15">
        <f t="shared" si="4"/>
        <v>0</v>
      </c>
      <c r="H86" s="3" t="s">
        <v>106</v>
      </c>
    </row>
    <row r="87">
      <c r="A87" s="14" t="s">
        <v>85</v>
      </c>
      <c r="B87" s="14" t="s">
        <v>8</v>
      </c>
      <c r="C87" s="10" t="s">
        <v>13</v>
      </c>
      <c r="D87" s="11">
        <v>1.0</v>
      </c>
      <c r="E87" s="11">
        <v>1.672649</v>
      </c>
      <c r="F87" s="4">
        <f t="shared" si="3"/>
        <v>0</v>
      </c>
      <c r="G87" s="4">
        <f t="shared" si="4"/>
        <v>1</v>
      </c>
      <c r="H87" s="3" t="s">
        <v>106</v>
      </c>
    </row>
    <row r="88">
      <c r="A88" s="14" t="s">
        <v>86</v>
      </c>
      <c r="B88" s="14" t="s">
        <v>8</v>
      </c>
      <c r="C88" s="10" t="s">
        <v>13</v>
      </c>
      <c r="D88" s="12">
        <v>0.0</v>
      </c>
      <c r="E88" s="11">
        <v>5.445464</v>
      </c>
      <c r="F88" s="16">
        <f t="shared" si="3"/>
        <v>1</v>
      </c>
      <c r="G88" s="15">
        <f t="shared" si="4"/>
        <v>0</v>
      </c>
      <c r="H88" s="3" t="s">
        <v>106</v>
      </c>
    </row>
    <row r="89">
      <c r="A89" s="14" t="s">
        <v>87</v>
      </c>
      <c r="B89" s="14" t="s">
        <v>8</v>
      </c>
      <c r="C89" s="10" t="s">
        <v>13</v>
      </c>
      <c r="D89" s="11">
        <v>1.0</v>
      </c>
      <c r="E89" s="11">
        <v>1.049161</v>
      </c>
      <c r="F89" s="4">
        <f t="shared" si="3"/>
        <v>0</v>
      </c>
      <c r="G89" s="4">
        <f t="shared" si="4"/>
        <v>1</v>
      </c>
      <c r="H89" s="3" t="s">
        <v>106</v>
      </c>
    </row>
    <row r="90">
      <c r="A90" s="14" t="s">
        <v>88</v>
      </c>
      <c r="B90" s="14" t="s">
        <v>8</v>
      </c>
      <c r="C90" s="10" t="s">
        <v>13</v>
      </c>
      <c r="D90" s="12">
        <v>0.0</v>
      </c>
      <c r="E90" s="11">
        <v>0.611455</v>
      </c>
      <c r="F90" s="4">
        <f t="shared" si="3"/>
        <v>0</v>
      </c>
      <c r="G90" s="15">
        <f t="shared" si="4"/>
        <v>0</v>
      </c>
      <c r="H90" s="3" t="s">
        <v>106</v>
      </c>
    </row>
    <row r="91">
      <c r="A91" s="14" t="s">
        <v>89</v>
      </c>
      <c r="B91" s="14" t="s">
        <v>8</v>
      </c>
      <c r="C91" s="10" t="s">
        <v>8</v>
      </c>
      <c r="D91" s="11">
        <v>1.0</v>
      </c>
      <c r="E91" s="11">
        <v>0.4113</v>
      </c>
      <c r="F91" s="4">
        <f t="shared" si="3"/>
        <v>0</v>
      </c>
      <c r="G91" s="4">
        <f t="shared" si="4"/>
        <v>1</v>
      </c>
      <c r="H91" s="3" t="s">
        <v>106</v>
      </c>
    </row>
    <row r="92">
      <c r="A92" s="14" t="s">
        <v>61</v>
      </c>
      <c r="B92" s="14" t="s">
        <v>13</v>
      </c>
      <c r="C92" s="10" t="s">
        <v>8</v>
      </c>
      <c r="D92" s="11">
        <v>1.0</v>
      </c>
      <c r="E92" s="11">
        <v>0.481624</v>
      </c>
      <c r="F92" s="4">
        <f t="shared" si="3"/>
        <v>0</v>
      </c>
      <c r="G92" s="4">
        <f t="shared" si="4"/>
        <v>1</v>
      </c>
      <c r="H92" s="3" t="s">
        <v>106</v>
      </c>
    </row>
    <row r="93">
      <c r="A93" s="14" t="s">
        <v>19</v>
      </c>
      <c r="B93" s="14" t="s">
        <v>13</v>
      </c>
      <c r="C93" s="10" t="s">
        <v>8</v>
      </c>
      <c r="D93" s="12">
        <v>0.0</v>
      </c>
      <c r="E93" s="11">
        <v>0.420279</v>
      </c>
      <c r="F93" s="4">
        <f t="shared" si="3"/>
        <v>0</v>
      </c>
      <c r="G93" s="15">
        <f t="shared" si="4"/>
        <v>0</v>
      </c>
      <c r="H93" s="3" t="s">
        <v>106</v>
      </c>
    </row>
    <row r="94">
      <c r="A94" s="14" t="s">
        <v>90</v>
      </c>
      <c r="B94" s="14" t="s">
        <v>13</v>
      </c>
      <c r="C94" s="10" t="s">
        <v>8</v>
      </c>
      <c r="D94" s="11">
        <v>1.0</v>
      </c>
      <c r="E94" s="11">
        <v>0.539053</v>
      </c>
      <c r="F94" s="4">
        <f t="shared" si="3"/>
        <v>0</v>
      </c>
      <c r="G94" s="4">
        <f t="shared" si="4"/>
        <v>1</v>
      </c>
      <c r="H94" s="3" t="s">
        <v>106</v>
      </c>
    </row>
    <row r="95">
      <c r="A95" s="14" t="s">
        <v>91</v>
      </c>
      <c r="B95" s="14" t="s">
        <v>8</v>
      </c>
      <c r="C95" s="10" t="s">
        <v>8</v>
      </c>
      <c r="D95" s="11">
        <v>1.0</v>
      </c>
      <c r="E95" s="11">
        <v>0.461163</v>
      </c>
      <c r="F95" s="4">
        <f t="shared" si="3"/>
        <v>0</v>
      </c>
      <c r="G95" s="4">
        <f t="shared" si="4"/>
        <v>1</v>
      </c>
      <c r="H95" s="3" t="s">
        <v>106</v>
      </c>
    </row>
    <row r="96">
      <c r="A96" s="14" t="s">
        <v>92</v>
      </c>
      <c r="B96" s="14" t="s">
        <v>8</v>
      </c>
      <c r="C96" s="10" t="s">
        <v>13</v>
      </c>
      <c r="D96" s="12">
        <v>0.0</v>
      </c>
      <c r="E96" s="11">
        <v>0.724131</v>
      </c>
      <c r="F96" s="4">
        <f t="shared" si="3"/>
        <v>0</v>
      </c>
      <c r="G96" s="15">
        <f t="shared" si="4"/>
        <v>0</v>
      </c>
      <c r="H96" s="3" t="s">
        <v>106</v>
      </c>
    </row>
    <row r="97">
      <c r="A97" s="14" t="s">
        <v>93</v>
      </c>
      <c r="B97" s="14" t="s">
        <v>8</v>
      </c>
      <c r="C97" s="10" t="s">
        <v>8</v>
      </c>
      <c r="D97" s="11">
        <v>1.0</v>
      </c>
      <c r="E97" s="11">
        <v>0.321193</v>
      </c>
      <c r="F97" s="4">
        <f t="shared" si="3"/>
        <v>0</v>
      </c>
      <c r="G97" s="4">
        <f t="shared" si="4"/>
        <v>1</v>
      </c>
      <c r="H97" s="3" t="s">
        <v>106</v>
      </c>
    </row>
    <row r="98">
      <c r="A98" s="14" t="s">
        <v>94</v>
      </c>
      <c r="B98" s="14" t="s">
        <v>8</v>
      </c>
      <c r="C98" s="10" t="s">
        <v>13</v>
      </c>
      <c r="D98" s="11">
        <v>1.0</v>
      </c>
      <c r="E98" s="11">
        <v>1.737164</v>
      </c>
      <c r="F98" s="4">
        <f t="shared" si="3"/>
        <v>0</v>
      </c>
      <c r="G98" s="4">
        <f t="shared" si="4"/>
        <v>1</v>
      </c>
      <c r="H98" s="3" t="s">
        <v>106</v>
      </c>
    </row>
    <row r="99">
      <c r="A99" s="14" t="s">
        <v>17</v>
      </c>
      <c r="B99" s="14" t="s">
        <v>8</v>
      </c>
      <c r="C99" s="10" t="s">
        <v>8</v>
      </c>
      <c r="D99" s="11">
        <v>1.0</v>
      </c>
      <c r="E99" s="11">
        <v>0.66444</v>
      </c>
      <c r="F99" s="4">
        <f t="shared" si="3"/>
        <v>0</v>
      </c>
      <c r="G99" s="4">
        <f t="shared" si="4"/>
        <v>1</v>
      </c>
      <c r="H99" s="3" t="s">
        <v>106</v>
      </c>
    </row>
    <row r="100">
      <c r="A100" s="14" t="s">
        <v>95</v>
      </c>
      <c r="B100" s="14" t="s">
        <v>8</v>
      </c>
      <c r="C100" s="10" t="s">
        <v>8</v>
      </c>
      <c r="D100" s="11">
        <v>1.0</v>
      </c>
      <c r="E100" s="11">
        <v>0.570636</v>
      </c>
      <c r="F100" s="4">
        <f t="shared" si="3"/>
        <v>0</v>
      </c>
      <c r="G100" s="4">
        <f t="shared" si="4"/>
        <v>1</v>
      </c>
      <c r="H100" s="3" t="s">
        <v>106</v>
      </c>
    </row>
    <row r="101">
      <c r="A101" s="14" t="s">
        <v>60</v>
      </c>
      <c r="B101" s="14" t="s">
        <v>13</v>
      </c>
      <c r="C101" s="10" t="s">
        <v>8</v>
      </c>
      <c r="D101" s="12">
        <v>0.0</v>
      </c>
      <c r="E101" s="11">
        <v>0.615851</v>
      </c>
      <c r="F101" s="4">
        <f t="shared" si="3"/>
        <v>0</v>
      </c>
      <c r="G101" s="15">
        <f t="shared" si="4"/>
        <v>0</v>
      </c>
      <c r="H101" s="3" t="s">
        <v>106</v>
      </c>
    </row>
    <row r="102">
      <c r="A102" s="14" t="s">
        <v>44</v>
      </c>
      <c r="B102" s="14" t="s">
        <v>13</v>
      </c>
      <c r="C102" s="10" t="s">
        <v>13</v>
      </c>
      <c r="D102" s="11">
        <v>1.0</v>
      </c>
      <c r="E102" s="11">
        <v>0.792442</v>
      </c>
      <c r="F102" s="4">
        <f t="shared" si="3"/>
        <v>0</v>
      </c>
      <c r="G102" s="4">
        <f t="shared" si="4"/>
        <v>1</v>
      </c>
      <c r="H102" s="3" t="s">
        <v>106</v>
      </c>
    </row>
    <row r="104">
      <c r="F104" s="3" t="s">
        <v>107</v>
      </c>
      <c r="G104" s="3" t="s">
        <v>108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110</v>
      </c>
    </row>
    <row r="2">
      <c r="A2" s="3" t="s">
        <v>7</v>
      </c>
      <c r="B2" s="3" t="s">
        <v>8</v>
      </c>
      <c r="C2" s="10" t="s">
        <v>13</v>
      </c>
      <c r="D2" s="11">
        <v>1.0</v>
      </c>
      <c r="E2" s="11">
        <v>0.929403</v>
      </c>
      <c r="F2" s="4">
        <f t="shared" ref="F2:F51" si="1">IF(OR(E2 &lt; 0.2, E2 &gt; 5), 1, 0)</f>
        <v>0</v>
      </c>
      <c r="G2" s="4">
        <f t="shared" ref="G2:G51" si="2">IF(AND(D2=1, F2=0), 1, 0)</f>
        <v>1</v>
      </c>
      <c r="H2" s="3" t="s">
        <v>9</v>
      </c>
    </row>
    <row r="3">
      <c r="A3" s="3" t="s">
        <v>10</v>
      </c>
      <c r="B3" s="3" t="s">
        <v>8</v>
      </c>
      <c r="C3" s="10" t="s">
        <v>13</v>
      </c>
      <c r="D3" s="12">
        <v>0.0</v>
      </c>
      <c r="E3" s="11">
        <v>1.356165</v>
      </c>
      <c r="F3" s="4">
        <f t="shared" si="1"/>
        <v>0</v>
      </c>
      <c r="G3" s="15">
        <f t="shared" si="2"/>
        <v>0</v>
      </c>
      <c r="H3" s="3" t="s">
        <v>9</v>
      </c>
    </row>
    <row r="4">
      <c r="A4" s="3" t="s">
        <v>11</v>
      </c>
      <c r="B4" s="3" t="s">
        <v>8</v>
      </c>
      <c r="C4" s="10" t="s">
        <v>8</v>
      </c>
      <c r="D4" s="11">
        <v>1.0</v>
      </c>
      <c r="E4" s="11">
        <v>1.238329</v>
      </c>
      <c r="F4" s="4">
        <f t="shared" si="1"/>
        <v>0</v>
      </c>
      <c r="G4" s="4">
        <f t="shared" si="2"/>
        <v>1</v>
      </c>
      <c r="H4" s="3" t="s">
        <v>9</v>
      </c>
    </row>
    <row r="5">
      <c r="A5" s="3" t="s">
        <v>12</v>
      </c>
      <c r="B5" s="3" t="s">
        <v>13</v>
      </c>
      <c r="C5" s="10" t="s">
        <v>8</v>
      </c>
      <c r="D5" s="11">
        <v>1.0</v>
      </c>
      <c r="E5" s="11">
        <v>0.760092</v>
      </c>
      <c r="F5" s="4">
        <f t="shared" si="1"/>
        <v>0</v>
      </c>
      <c r="G5" s="4">
        <f t="shared" si="2"/>
        <v>1</v>
      </c>
      <c r="H5" s="3" t="s">
        <v>9</v>
      </c>
    </row>
    <row r="6">
      <c r="A6" s="3" t="s">
        <v>14</v>
      </c>
      <c r="B6" s="3" t="s">
        <v>13</v>
      </c>
      <c r="C6" s="10" t="s">
        <v>8</v>
      </c>
      <c r="D6" s="11">
        <v>1.0</v>
      </c>
      <c r="E6" s="11">
        <v>0.566905</v>
      </c>
      <c r="F6" s="4">
        <f t="shared" si="1"/>
        <v>0</v>
      </c>
      <c r="G6" s="4">
        <f t="shared" si="2"/>
        <v>1</v>
      </c>
      <c r="H6" s="3" t="s">
        <v>9</v>
      </c>
    </row>
    <row r="7">
      <c r="A7" s="3" t="s">
        <v>15</v>
      </c>
      <c r="B7" s="3" t="s">
        <v>8</v>
      </c>
      <c r="C7" s="10" t="s">
        <v>8</v>
      </c>
      <c r="D7" s="11">
        <v>1.0</v>
      </c>
      <c r="E7" s="11">
        <v>1.019143</v>
      </c>
      <c r="F7" s="4">
        <f t="shared" si="1"/>
        <v>0</v>
      </c>
      <c r="G7" s="4">
        <f t="shared" si="2"/>
        <v>1</v>
      </c>
      <c r="H7" s="3" t="s">
        <v>9</v>
      </c>
    </row>
    <row r="8">
      <c r="A8" s="3" t="s">
        <v>16</v>
      </c>
      <c r="B8" s="3" t="s">
        <v>13</v>
      </c>
      <c r="C8" s="10" t="s">
        <v>13</v>
      </c>
      <c r="D8" s="11">
        <v>1.0</v>
      </c>
      <c r="E8" s="11">
        <v>1.073644</v>
      </c>
      <c r="F8" s="4">
        <f t="shared" si="1"/>
        <v>0</v>
      </c>
      <c r="G8" s="4">
        <f t="shared" si="2"/>
        <v>1</v>
      </c>
      <c r="H8" s="3" t="s">
        <v>9</v>
      </c>
      <c r="J8" s="5" t="s">
        <v>20</v>
      </c>
      <c r="K8" s="6"/>
      <c r="L8" s="6"/>
      <c r="M8" s="6"/>
      <c r="N8" s="5" t="s">
        <v>21</v>
      </c>
      <c r="O8" s="6"/>
      <c r="P8" s="6"/>
    </row>
    <row r="9">
      <c r="A9" s="3" t="s">
        <v>17</v>
      </c>
      <c r="B9" s="3" t="s">
        <v>13</v>
      </c>
      <c r="C9" s="10" t="s">
        <v>8</v>
      </c>
      <c r="D9" s="11">
        <v>1.0</v>
      </c>
      <c r="E9" s="11">
        <v>0.855835</v>
      </c>
      <c r="F9" s="4">
        <f t="shared" si="1"/>
        <v>0</v>
      </c>
      <c r="G9" s="4">
        <f t="shared" si="2"/>
        <v>1</v>
      </c>
      <c r="H9" s="3" t="s">
        <v>9</v>
      </c>
      <c r="J9" s="5" t="s">
        <v>23</v>
      </c>
      <c r="K9" s="6">
        <f>IFERROR(__xludf.DUMMYFUNCTION("MEDIAN(FILTER(E:E, H:H=""congruent"", G:G=1))
"),0.792908)</f>
        <v>0.792908</v>
      </c>
      <c r="L9" s="6"/>
      <c r="M9" s="6"/>
      <c r="N9" s="5" t="s">
        <v>23</v>
      </c>
      <c r="O9" s="6">
        <f>IFERROR(__xludf.DUMMYFUNCTION("MEDIAN(FILTER(E:E, H:H=""incongruent"", G:G=1))
"),1.446524)</f>
        <v>1.446524</v>
      </c>
      <c r="P9" s="6"/>
    </row>
    <row r="10">
      <c r="A10" s="3" t="s">
        <v>18</v>
      </c>
      <c r="B10" s="3" t="s">
        <v>13</v>
      </c>
      <c r="C10" s="10" t="s">
        <v>13</v>
      </c>
      <c r="D10" s="11">
        <v>1.0</v>
      </c>
      <c r="E10" s="11">
        <v>0.803421</v>
      </c>
      <c r="F10" s="4">
        <f t="shared" si="1"/>
        <v>0</v>
      </c>
      <c r="G10" s="4">
        <f t="shared" si="2"/>
        <v>1</v>
      </c>
      <c r="H10" s="3" t="s">
        <v>9</v>
      </c>
      <c r="J10" s="6"/>
      <c r="K10" s="6"/>
      <c r="L10" s="6"/>
      <c r="M10" s="6"/>
      <c r="N10" s="6"/>
      <c r="O10" s="6"/>
      <c r="P10" s="6"/>
    </row>
    <row r="11">
      <c r="A11" s="3" t="s">
        <v>19</v>
      </c>
      <c r="B11" s="3" t="s">
        <v>8</v>
      </c>
      <c r="C11" s="10" t="s">
        <v>13</v>
      </c>
      <c r="D11" s="11">
        <v>1.0</v>
      </c>
      <c r="E11" s="11">
        <v>1.274394</v>
      </c>
      <c r="F11" s="4">
        <f t="shared" si="1"/>
        <v>0</v>
      </c>
      <c r="G11" s="4">
        <f t="shared" si="2"/>
        <v>1</v>
      </c>
      <c r="H11" s="3" t="s">
        <v>9</v>
      </c>
      <c r="J11" s="5" t="s">
        <v>26</v>
      </c>
      <c r="K11" s="6"/>
      <c r="L11" s="6">
        <f>IFERROR(__xludf.DUMMYFUNCTION("AVERAGE(FILTER(D:D, H:H=""congruent""))*100
"),86.0)</f>
        <v>86</v>
      </c>
      <c r="M11" s="6"/>
      <c r="N11" s="5" t="s">
        <v>27</v>
      </c>
      <c r="O11" s="6"/>
      <c r="P11" s="6">
        <f>IFERROR(__xludf.DUMMYFUNCTION("AVERAGE(FILTER(D:D, H:H=""incongruent""))*100
"),90.0)</f>
        <v>90</v>
      </c>
    </row>
    <row r="12">
      <c r="A12" s="3" t="s">
        <v>22</v>
      </c>
      <c r="B12" s="3" t="s">
        <v>13</v>
      </c>
      <c r="C12" s="10" t="s">
        <v>8</v>
      </c>
      <c r="D12" s="11">
        <v>1.0</v>
      </c>
      <c r="E12" s="11">
        <v>0.792908</v>
      </c>
      <c r="F12" s="4">
        <f t="shared" si="1"/>
        <v>0</v>
      </c>
      <c r="G12" s="4">
        <f t="shared" si="2"/>
        <v>1</v>
      </c>
      <c r="H12" s="3" t="s">
        <v>9</v>
      </c>
    </row>
    <row r="13">
      <c r="A13" s="3" t="s">
        <v>24</v>
      </c>
      <c r="B13" s="3" t="s">
        <v>8</v>
      </c>
      <c r="C13" s="10" t="s">
        <v>13</v>
      </c>
      <c r="D13" s="11">
        <v>1.0</v>
      </c>
      <c r="E13" s="11">
        <v>0.790193</v>
      </c>
      <c r="F13" s="4">
        <f t="shared" si="1"/>
        <v>0</v>
      </c>
      <c r="G13" s="4">
        <f t="shared" si="2"/>
        <v>1</v>
      </c>
      <c r="H13" s="3" t="s">
        <v>9</v>
      </c>
      <c r="L13" s="3" t="s">
        <v>31</v>
      </c>
      <c r="M13" s="4">
        <f>O9-K9</f>
        <v>0.653616</v>
      </c>
    </row>
    <row r="14">
      <c r="A14" s="3" t="s">
        <v>25</v>
      </c>
      <c r="B14" s="3" t="s">
        <v>8</v>
      </c>
      <c r="C14" s="10" t="s">
        <v>8</v>
      </c>
      <c r="D14" s="11">
        <v>1.0</v>
      </c>
      <c r="E14" s="11">
        <v>0.727756</v>
      </c>
      <c r="F14" s="4">
        <f t="shared" si="1"/>
        <v>0</v>
      </c>
      <c r="G14" s="4">
        <f t="shared" si="2"/>
        <v>1</v>
      </c>
      <c r="H14" s="3" t="s">
        <v>9</v>
      </c>
    </row>
    <row r="15">
      <c r="A15" s="3" t="s">
        <v>28</v>
      </c>
      <c r="B15" s="3" t="s">
        <v>13</v>
      </c>
      <c r="C15" s="10" t="s">
        <v>8</v>
      </c>
      <c r="D15" s="12">
        <v>0.0</v>
      </c>
      <c r="E15" s="11">
        <v>1.54646</v>
      </c>
      <c r="F15" s="4">
        <f t="shared" si="1"/>
        <v>0</v>
      </c>
      <c r="G15" s="15">
        <f t="shared" si="2"/>
        <v>0</v>
      </c>
      <c r="H15" s="3" t="s">
        <v>9</v>
      </c>
    </row>
    <row r="16">
      <c r="A16" s="3" t="s">
        <v>29</v>
      </c>
      <c r="B16" s="3" t="s">
        <v>13</v>
      </c>
      <c r="C16" s="10" t="s">
        <v>8</v>
      </c>
      <c r="D16" s="12">
        <v>0.0</v>
      </c>
      <c r="E16" s="11">
        <v>1.400624</v>
      </c>
      <c r="F16" s="4">
        <f t="shared" si="1"/>
        <v>0</v>
      </c>
      <c r="G16" s="15">
        <f t="shared" si="2"/>
        <v>0</v>
      </c>
      <c r="H16" s="3" t="s">
        <v>9</v>
      </c>
    </row>
    <row r="17">
      <c r="A17" s="3" t="s">
        <v>30</v>
      </c>
      <c r="B17" s="3" t="s">
        <v>8</v>
      </c>
      <c r="C17" s="10" t="s">
        <v>8</v>
      </c>
      <c r="D17" s="11">
        <v>1.0</v>
      </c>
      <c r="E17" s="11">
        <v>0.774235</v>
      </c>
      <c r="F17" s="4">
        <f t="shared" si="1"/>
        <v>0</v>
      </c>
      <c r="G17" s="4">
        <f t="shared" si="2"/>
        <v>1</v>
      </c>
      <c r="H17" s="3" t="s">
        <v>9</v>
      </c>
    </row>
    <row r="18">
      <c r="A18" s="3" t="s">
        <v>32</v>
      </c>
      <c r="B18" s="3" t="s">
        <v>13</v>
      </c>
      <c r="C18" s="10" t="s">
        <v>13</v>
      </c>
      <c r="D18" s="11">
        <v>1.0</v>
      </c>
      <c r="E18" s="11">
        <v>0.698912</v>
      </c>
      <c r="F18" s="4">
        <f t="shared" si="1"/>
        <v>0</v>
      </c>
      <c r="G18" s="4">
        <f t="shared" si="2"/>
        <v>1</v>
      </c>
      <c r="H18" s="3" t="s">
        <v>9</v>
      </c>
    </row>
    <row r="19">
      <c r="A19" s="3" t="s">
        <v>33</v>
      </c>
      <c r="B19" s="3" t="s">
        <v>8</v>
      </c>
      <c r="C19" s="10" t="s">
        <v>8</v>
      </c>
      <c r="D19" s="11">
        <v>1.0</v>
      </c>
      <c r="E19" s="11">
        <v>1.03662</v>
      </c>
      <c r="F19" s="4">
        <f t="shared" si="1"/>
        <v>0</v>
      </c>
      <c r="G19" s="4">
        <f t="shared" si="2"/>
        <v>1</v>
      </c>
      <c r="H19" s="3" t="s">
        <v>9</v>
      </c>
    </row>
    <row r="20">
      <c r="A20" s="3" t="s">
        <v>34</v>
      </c>
      <c r="B20" s="3" t="s">
        <v>8</v>
      </c>
      <c r="C20" s="10" t="s">
        <v>13</v>
      </c>
      <c r="D20" s="11">
        <v>1.0</v>
      </c>
      <c r="E20" s="11">
        <v>1.032899</v>
      </c>
      <c r="F20" s="4">
        <f t="shared" si="1"/>
        <v>0</v>
      </c>
      <c r="G20" s="4">
        <f t="shared" si="2"/>
        <v>1</v>
      </c>
      <c r="H20" s="3" t="s">
        <v>9</v>
      </c>
    </row>
    <row r="21">
      <c r="A21" s="3" t="s">
        <v>35</v>
      </c>
      <c r="B21" s="3" t="s">
        <v>13</v>
      </c>
      <c r="C21" s="10" t="s">
        <v>8</v>
      </c>
      <c r="D21" s="11">
        <v>1.0</v>
      </c>
      <c r="E21" s="11">
        <v>0.861121</v>
      </c>
      <c r="F21" s="4">
        <f t="shared" si="1"/>
        <v>0</v>
      </c>
      <c r="G21" s="4">
        <f t="shared" si="2"/>
        <v>1</v>
      </c>
      <c r="H21" s="3" t="s">
        <v>9</v>
      </c>
    </row>
    <row r="22">
      <c r="A22" s="3" t="s">
        <v>36</v>
      </c>
      <c r="B22" s="3" t="s">
        <v>13</v>
      </c>
      <c r="C22" s="10" t="s">
        <v>8</v>
      </c>
      <c r="D22" s="11">
        <v>1.0</v>
      </c>
      <c r="E22" s="11">
        <v>0.643185</v>
      </c>
      <c r="F22" s="4">
        <f t="shared" si="1"/>
        <v>0</v>
      </c>
      <c r="G22" s="4">
        <f t="shared" si="2"/>
        <v>1</v>
      </c>
      <c r="H22" s="3" t="s">
        <v>9</v>
      </c>
    </row>
    <row r="23">
      <c r="A23" s="3" t="s">
        <v>37</v>
      </c>
      <c r="B23" s="3" t="s">
        <v>13</v>
      </c>
      <c r="C23" s="10" t="s">
        <v>13</v>
      </c>
      <c r="D23" s="11">
        <v>1.0</v>
      </c>
      <c r="E23" s="11">
        <v>1.344919</v>
      </c>
      <c r="F23" s="4">
        <f t="shared" si="1"/>
        <v>0</v>
      </c>
      <c r="G23" s="4">
        <f t="shared" si="2"/>
        <v>1</v>
      </c>
      <c r="H23" s="3" t="s">
        <v>9</v>
      </c>
    </row>
    <row r="24">
      <c r="A24" s="3" t="s">
        <v>38</v>
      </c>
      <c r="B24" s="3" t="s">
        <v>13</v>
      </c>
      <c r="C24" s="10" t="s">
        <v>8</v>
      </c>
      <c r="D24" s="11">
        <v>1.0</v>
      </c>
      <c r="E24" s="11">
        <v>0.973684</v>
      </c>
      <c r="F24" s="4">
        <f t="shared" si="1"/>
        <v>0</v>
      </c>
      <c r="G24" s="4">
        <f t="shared" si="2"/>
        <v>1</v>
      </c>
      <c r="H24" s="3" t="s">
        <v>9</v>
      </c>
    </row>
    <row r="25">
      <c r="A25" s="3" t="s">
        <v>39</v>
      </c>
      <c r="B25" s="3" t="s">
        <v>13</v>
      </c>
      <c r="C25" s="10" t="s">
        <v>13</v>
      </c>
      <c r="D25" s="11">
        <v>1.0</v>
      </c>
      <c r="E25" s="11">
        <v>0.99398</v>
      </c>
      <c r="F25" s="4">
        <f t="shared" si="1"/>
        <v>0</v>
      </c>
      <c r="G25" s="4">
        <f t="shared" si="2"/>
        <v>1</v>
      </c>
      <c r="H25" s="3" t="s">
        <v>9</v>
      </c>
    </row>
    <row r="26">
      <c r="A26" s="3" t="s">
        <v>40</v>
      </c>
      <c r="B26" s="3" t="s">
        <v>13</v>
      </c>
      <c r="C26" s="10" t="s">
        <v>8</v>
      </c>
      <c r="D26" s="12">
        <v>0.0</v>
      </c>
      <c r="E26" s="11">
        <v>1.265475</v>
      </c>
      <c r="F26" s="4">
        <f t="shared" si="1"/>
        <v>0</v>
      </c>
      <c r="G26" s="15">
        <f t="shared" si="2"/>
        <v>0</v>
      </c>
      <c r="H26" s="3" t="s">
        <v>9</v>
      </c>
    </row>
    <row r="27">
      <c r="A27" s="3" t="s">
        <v>41</v>
      </c>
      <c r="B27" s="3" t="s">
        <v>13</v>
      </c>
      <c r="C27" s="10" t="s">
        <v>8</v>
      </c>
      <c r="D27" s="11">
        <v>1.0</v>
      </c>
      <c r="E27" s="11">
        <v>0.886295</v>
      </c>
      <c r="F27" s="4">
        <f t="shared" si="1"/>
        <v>0</v>
      </c>
      <c r="G27" s="4">
        <f t="shared" si="2"/>
        <v>1</v>
      </c>
      <c r="H27" s="3" t="s">
        <v>9</v>
      </c>
    </row>
    <row r="28">
      <c r="A28" s="3" t="s">
        <v>42</v>
      </c>
      <c r="B28" s="3" t="s">
        <v>13</v>
      </c>
      <c r="C28" s="10" t="s">
        <v>8</v>
      </c>
      <c r="D28" s="11">
        <v>1.0</v>
      </c>
      <c r="E28" s="11">
        <v>1.289574</v>
      </c>
      <c r="F28" s="4">
        <f t="shared" si="1"/>
        <v>0</v>
      </c>
      <c r="G28" s="4">
        <f t="shared" si="2"/>
        <v>1</v>
      </c>
      <c r="H28" s="3" t="s">
        <v>9</v>
      </c>
    </row>
    <row r="29">
      <c r="A29" s="3" t="s">
        <v>43</v>
      </c>
      <c r="B29" s="3" t="s">
        <v>8</v>
      </c>
      <c r="C29" s="10" t="s">
        <v>8</v>
      </c>
      <c r="D29" s="11">
        <v>1.0</v>
      </c>
      <c r="E29" s="11">
        <v>0.74888</v>
      </c>
      <c r="F29" s="4">
        <f t="shared" si="1"/>
        <v>0</v>
      </c>
      <c r="G29" s="4">
        <f t="shared" si="2"/>
        <v>1</v>
      </c>
      <c r="H29" s="3" t="s">
        <v>9</v>
      </c>
    </row>
    <row r="30">
      <c r="A30" s="3" t="s">
        <v>44</v>
      </c>
      <c r="B30" s="3" t="s">
        <v>8</v>
      </c>
      <c r="C30" s="10" t="s">
        <v>8</v>
      </c>
      <c r="D30" s="11">
        <v>1.0</v>
      </c>
      <c r="E30" s="11">
        <v>0.76895</v>
      </c>
      <c r="F30" s="4">
        <f t="shared" si="1"/>
        <v>0</v>
      </c>
      <c r="G30" s="4">
        <f t="shared" si="2"/>
        <v>1</v>
      </c>
      <c r="H30" s="3" t="s">
        <v>9</v>
      </c>
    </row>
    <row r="31">
      <c r="A31" s="3" t="s">
        <v>45</v>
      </c>
      <c r="B31" s="3" t="s">
        <v>13</v>
      </c>
      <c r="C31" s="10" t="s">
        <v>13</v>
      </c>
      <c r="D31" s="11">
        <v>1.0</v>
      </c>
      <c r="E31" s="11">
        <v>0.898282</v>
      </c>
      <c r="F31" s="4">
        <f t="shared" si="1"/>
        <v>0</v>
      </c>
      <c r="G31" s="4">
        <f t="shared" si="2"/>
        <v>1</v>
      </c>
      <c r="H31" s="3" t="s">
        <v>9</v>
      </c>
    </row>
    <row r="32">
      <c r="A32" s="3" t="s">
        <v>46</v>
      </c>
      <c r="B32" s="3" t="s">
        <v>13</v>
      </c>
      <c r="C32" s="10" t="s">
        <v>8</v>
      </c>
      <c r="D32" s="12">
        <v>0.0</v>
      </c>
      <c r="E32" s="11">
        <v>0.787017</v>
      </c>
      <c r="F32" s="4">
        <f t="shared" si="1"/>
        <v>0</v>
      </c>
      <c r="G32" s="15">
        <f t="shared" si="2"/>
        <v>0</v>
      </c>
      <c r="H32" s="3" t="s">
        <v>9</v>
      </c>
    </row>
    <row r="33">
      <c r="A33" s="3" t="s">
        <v>47</v>
      </c>
      <c r="B33" s="3" t="s">
        <v>8</v>
      </c>
      <c r="C33" s="10" t="s">
        <v>8</v>
      </c>
      <c r="D33" s="11">
        <v>1.0</v>
      </c>
      <c r="E33" s="11">
        <v>0.717765</v>
      </c>
      <c r="F33" s="4">
        <f t="shared" si="1"/>
        <v>0</v>
      </c>
      <c r="G33" s="4">
        <f t="shared" si="2"/>
        <v>1</v>
      </c>
      <c r="H33" s="3" t="s">
        <v>9</v>
      </c>
    </row>
    <row r="34">
      <c r="A34" s="3" t="s">
        <v>48</v>
      </c>
      <c r="B34" s="3" t="s">
        <v>8</v>
      </c>
      <c r="C34" s="10" t="s">
        <v>8</v>
      </c>
      <c r="D34" s="11">
        <v>1.0</v>
      </c>
      <c r="E34" s="11">
        <v>0.553019</v>
      </c>
      <c r="F34" s="4">
        <f t="shared" si="1"/>
        <v>0</v>
      </c>
      <c r="G34" s="4">
        <f t="shared" si="2"/>
        <v>1</v>
      </c>
      <c r="H34" s="3" t="s">
        <v>9</v>
      </c>
    </row>
    <row r="35">
      <c r="A35" s="3" t="s">
        <v>49</v>
      </c>
      <c r="B35" s="3" t="s">
        <v>13</v>
      </c>
      <c r="C35" s="10" t="s">
        <v>8</v>
      </c>
      <c r="D35" s="11">
        <v>1.0</v>
      </c>
      <c r="E35" s="11">
        <v>0.656614</v>
      </c>
      <c r="F35" s="4">
        <f t="shared" si="1"/>
        <v>0</v>
      </c>
      <c r="G35" s="4">
        <f t="shared" si="2"/>
        <v>1</v>
      </c>
      <c r="H35" s="3" t="s">
        <v>9</v>
      </c>
    </row>
    <row r="36">
      <c r="A36" s="3" t="s">
        <v>50</v>
      </c>
      <c r="B36" s="3" t="s">
        <v>13</v>
      </c>
      <c r="C36" s="10" t="s">
        <v>13</v>
      </c>
      <c r="D36" s="11">
        <v>1.0</v>
      </c>
      <c r="E36" s="11">
        <v>0.885052</v>
      </c>
      <c r="F36" s="4">
        <f t="shared" si="1"/>
        <v>0</v>
      </c>
      <c r="G36" s="4">
        <f t="shared" si="2"/>
        <v>1</v>
      </c>
      <c r="H36" s="3" t="s">
        <v>9</v>
      </c>
    </row>
    <row r="37">
      <c r="A37" s="3" t="s">
        <v>51</v>
      </c>
      <c r="B37" s="3" t="s">
        <v>8</v>
      </c>
      <c r="C37" s="10" t="s">
        <v>13</v>
      </c>
      <c r="D37" s="11">
        <v>1.0</v>
      </c>
      <c r="E37" s="11">
        <v>0.80091</v>
      </c>
      <c r="F37" s="4">
        <f t="shared" si="1"/>
        <v>0</v>
      </c>
      <c r="G37" s="4">
        <f t="shared" si="2"/>
        <v>1</v>
      </c>
      <c r="H37" s="3" t="s">
        <v>9</v>
      </c>
    </row>
    <row r="38">
      <c r="A38" s="3" t="s">
        <v>52</v>
      </c>
      <c r="B38" s="3" t="s">
        <v>8</v>
      </c>
      <c r="C38" s="10" t="s">
        <v>13</v>
      </c>
      <c r="D38" s="11">
        <v>1.0</v>
      </c>
      <c r="E38" s="11">
        <v>0.661376</v>
      </c>
      <c r="F38" s="4">
        <f t="shared" si="1"/>
        <v>0</v>
      </c>
      <c r="G38" s="4">
        <f t="shared" si="2"/>
        <v>1</v>
      </c>
      <c r="H38" s="3" t="s">
        <v>9</v>
      </c>
    </row>
    <row r="39">
      <c r="A39" s="3" t="s">
        <v>53</v>
      </c>
      <c r="B39" s="3" t="s">
        <v>8</v>
      </c>
      <c r="C39" s="10" t="s">
        <v>13</v>
      </c>
      <c r="D39" s="11">
        <v>1.0</v>
      </c>
      <c r="E39" s="11">
        <v>0.984145</v>
      </c>
      <c r="F39" s="4">
        <f t="shared" si="1"/>
        <v>0</v>
      </c>
      <c r="G39" s="4">
        <f t="shared" si="2"/>
        <v>1</v>
      </c>
      <c r="H39" s="3" t="s">
        <v>9</v>
      </c>
    </row>
    <row r="40">
      <c r="A40" s="3" t="s">
        <v>54</v>
      </c>
      <c r="B40" s="3" t="s">
        <v>13</v>
      </c>
      <c r="C40" s="10" t="s">
        <v>13</v>
      </c>
      <c r="D40" s="11">
        <v>1.0</v>
      </c>
      <c r="E40" s="11">
        <v>0.544805</v>
      </c>
      <c r="F40" s="4">
        <f t="shared" si="1"/>
        <v>0</v>
      </c>
      <c r="G40" s="4">
        <f t="shared" si="2"/>
        <v>1</v>
      </c>
      <c r="H40" s="3" t="s">
        <v>9</v>
      </c>
    </row>
    <row r="41">
      <c r="A41" s="3" t="s">
        <v>55</v>
      </c>
      <c r="B41" s="3" t="s">
        <v>8</v>
      </c>
      <c r="C41" s="10" t="s">
        <v>8</v>
      </c>
      <c r="D41" s="11">
        <v>1.0</v>
      </c>
      <c r="E41" s="11">
        <v>0.711147</v>
      </c>
      <c r="F41" s="4">
        <f t="shared" si="1"/>
        <v>0</v>
      </c>
      <c r="G41" s="4">
        <f t="shared" si="2"/>
        <v>1</v>
      </c>
      <c r="H41" s="3" t="s">
        <v>9</v>
      </c>
    </row>
    <row r="42">
      <c r="A42" s="3" t="s">
        <v>56</v>
      </c>
      <c r="B42" s="3" t="s">
        <v>13</v>
      </c>
      <c r="C42" s="10" t="s">
        <v>8</v>
      </c>
      <c r="D42" s="12">
        <v>0.0</v>
      </c>
      <c r="E42" s="11">
        <v>0.749439</v>
      </c>
      <c r="F42" s="4">
        <f t="shared" si="1"/>
        <v>0</v>
      </c>
      <c r="G42" s="15">
        <f t="shared" si="2"/>
        <v>0</v>
      </c>
      <c r="H42" s="3" t="s">
        <v>9</v>
      </c>
    </row>
    <row r="43">
      <c r="A43" s="3" t="s">
        <v>57</v>
      </c>
      <c r="B43" s="3" t="s">
        <v>8</v>
      </c>
      <c r="C43" s="10" t="s">
        <v>13</v>
      </c>
      <c r="D43" s="12">
        <v>0.0</v>
      </c>
      <c r="E43" s="11">
        <v>1.00992</v>
      </c>
      <c r="F43" s="4">
        <f t="shared" si="1"/>
        <v>0</v>
      </c>
      <c r="G43" s="15">
        <f t="shared" si="2"/>
        <v>0</v>
      </c>
      <c r="H43" s="3" t="s">
        <v>9</v>
      </c>
    </row>
    <row r="44">
      <c r="A44" s="3" t="s">
        <v>58</v>
      </c>
      <c r="B44" s="3" t="s">
        <v>8</v>
      </c>
      <c r="C44" s="10" t="s">
        <v>13</v>
      </c>
      <c r="D44" s="11">
        <v>1.0</v>
      </c>
      <c r="E44" s="11">
        <v>0.947028</v>
      </c>
      <c r="F44" s="4">
        <f t="shared" si="1"/>
        <v>0</v>
      </c>
      <c r="G44" s="4">
        <f t="shared" si="2"/>
        <v>1</v>
      </c>
      <c r="H44" s="3" t="s">
        <v>9</v>
      </c>
    </row>
    <row r="45">
      <c r="A45" s="3" t="s">
        <v>59</v>
      </c>
      <c r="B45" s="3" t="s">
        <v>8</v>
      </c>
      <c r="C45" s="10" t="s">
        <v>8</v>
      </c>
      <c r="D45" s="11">
        <v>1.0</v>
      </c>
      <c r="E45" s="11">
        <v>0.757796</v>
      </c>
      <c r="F45" s="4">
        <f t="shared" si="1"/>
        <v>0</v>
      </c>
      <c r="G45" s="4">
        <f t="shared" si="2"/>
        <v>1</v>
      </c>
      <c r="H45" s="3" t="s">
        <v>9</v>
      </c>
    </row>
    <row r="46">
      <c r="A46" s="3" t="s">
        <v>60</v>
      </c>
      <c r="B46" s="3" t="s">
        <v>8</v>
      </c>
      <c r="C46" s="10" t="s">
        <v>8</v>
      </c>
      <c r="D46" s="11">
        <v>1.0</v>
      </c>
      <c r="E46" s="11">
        <v>0.700205</v>
      </c>
      <c r="F46" s="4">
        <f t="shared" si="1"/>
        <v>0</v>
      </c>
      <c r="G46" s="4">
        <f t="shared" si="2"/>
        <v>1</v>
      </c>
      <c r="H46" s="3" t="s">
        <v>9</v>
      </c>
    </row>
    <row r="47">
      <c r="A47" s="3" t="s">
        <v>61</v>
      </c>
      <c r="B47" s="3" t="s">
        <v>8</v>
      </c>
      <c r="C47" s="10" t="s">
        <v>8</v>
      </c>
      <c r="D47" s="11">
        <v>1.0</v>
      </c>
      <c r="E47" s="11">
        <v>0.599697</v>
      </c>
      <c r="F47" s="4">
        <f t="shared" si="1"/>
        <v>0</v>
      </c>
      <c r="G47" s="4">
        <f t="shared" si="2"/>
        <v>1</v>
      </c>
      <c r="H47" s="3" t="s">
        <v>9</v>
      </c>
    </row>
    <row r="48">
      <c r="A48" s="3" t="s">
        <v>62</v>
      </c>
      <c r="B48" s="3" t="s">
        <v>8</v>
      </c>
      <c r="C48" s="10" t="s">
        <v>13</v>
      </c>
      <c r="D48" s="11">
        <v>1.0</v>
      </c>
      <c r="E48" s="11">
        <v>0.554422</v>
      </c>
      <c r="F48" s="4">
        <f t="shared" si="1"/>
        <v>0</v>
      </c>
      <c r="G48" s="4">
        <f t="shared" si="2"/>
        <v>1</v>
      </c>
      <c r="H48" s="3" t="s">
        <v>9</v>
      </c>
    </row>
    <row r="49">
      <c r="A49" s="3" t="s">
        <v>63</v>
      </c>
      <c r="B49" s="3" t="s">
        <v>8</v>
      </c>
      <c r="C49" s="10" t="s">
        <v>13</v>
      </c>
      <c r="D49" s="11">
        <v>1.0</v>
      </c>
      <c r="E49" s="11">
        <v>0.674463</v>
      </c>
      <c r="F49" s="4">
        <f t="shared" si="1"/>
        <v>0</v>
      </c>
      <c r="G49" s="4">
        <f t="shared" si="2"/>
        <v>1</v>
      </c>
      <c r="H49" s="3" t="s">
        <v>9</v>
      </c>
    </row>
    <row r="50">
      <c r="A50" s="3" t="s">
        <v>64</v>
      </c>
      <c r="B50" s="3" t="s">
        <v>13</v>
      </c>
      <c r="C50" s="10" t="s">
        <v>8</v>
      </c>
      <c r="D50" s="11">
        <v>1.0</v>
      </c>
      <c r="E50" s="11">
        <v>2.054948</v>
      </c>
      <c r="F50" s="4">
        <f t="shared" si="1"/>
        <v>0</v>
      </c>
      <c r="G50" s="4">
        <f t="shared" si="2"/>
        <v>1</v>
      </c>
      <c r="H50" s="3" t="s">
        <v>9</v>
      </c>
    </row>
    <row r="51">
      <c r="A51" s="3" t="s">
        <v>65</v>
      </c>
      <c r="B51" s="3" t="s">
        <v>13</v>
      </c>
      <c r="C51" s="10" t="s">
        <v>13</v>
      </c>
      <c r="D51" s="11">
        <v>1.0</v>
      </c>
      <c r="E51" s="11">
        <v>0.782011</v>
      </c>
      <c r="F51" s="4">
        <f t="shared" si="1"/>
        <v>0</v>
      </c>
      <c r="G51" s="4">
        <f t="shared" si="2"/>
        <v>1</v>
      </c>
      <c r="H51" s="3" t="s">
        <v>9</v>
      </c>
    </row>
    <row r="53">
      <c r="A53" s="14" t="s">
        <v>66</v>
      </c>
      <c r="B53" s="14" t="s">
        <v>8</v>
      </c>
      <c r="C53" s="10" t="s">
        <v>8</v>
      </c>
      <c r="D53" s="11">
        <v>1.0</v>
      </c>
      <c r="E53" s="11">
        <v>1.035571</v>
      </c>
      <c r="F53" s="4">
        <f t="shared" ref="F53:F102" si="3">IF(OR(E53 &lt; 0.2, E53 &gt; 5), 1, 0)</f>
        <v>0</v>
      </c>
      <c r="G53" s="4">
        <f t="shared" ref="G53:G102" si="4">IF(AND(D53=1, F53=0), 1, 0)</f>
        <v>1</v>
      </c>
      <c r="H53" s="3" t="s">
        <v>21</v>
      </c>
    </row>
    <row r="54">
      <c r="A54" s="14" t="s">
        <v>67</v>
      </c>
      <c r="B54" s="14" t="s">
        <v>8</v>
      </c>
      <c r="C54" s="10" t="s">
        <v>8</v>
      </c>
      <c r="D54" s="11">
        <v>1.0</v>
      </c>
      <c r="E54" s="11">
        <v>0.661885</v>
      </c>
      <c r="F54" s="4">
        <f t="shared" si="3"/>
        <v>0</v>
      </c>
      <c r="G54" s="4">
        <f t="shared" si="4"/>
        <v>1</v>
      </c>
      <c r="H54" s="3" t="s">
        <v>21</v>
      </c>
    </row>
    <row r="55">
      <c r="A55" s="14" t="s">
        <v>68</v>
      </c>
      <c r="B55" s="14" t="s">
        <v>8</v>
      </c>
      <c r="C55" s="10" t="s">
        <v>13</v>
      </c>
      <c r="D55" s="12">
        <v>0.0</v>
      </c>
      <c r="E55" s="11">
        <v>2.134651</v>
      </c>
      <c r="F55" s="4">
        <f t="shared" si="3"/>
        <v>0</v>
      </c>
      <c r="G55" s="15">
        <f t="shared" si="4"/>
        <v>0</v>
      </c>
      <c r="H55" s="3" t="s">
        <v>21</v>
      </c>
    </row>
    <row r="56">
      <c r="A56" s="14" t="s">
        <v>55</v>
      </c>
      <c r="B56" s="14" t="s">
        <v>13</v>
      </c>
      <c r="C56" s="10" t="s">
        <v>8</v>
      </c>
      <c r="D56" s="11">
        <v>1.0</v>
      </c>
      <c r="E56" s="11">
        <v>1.149805</v>
      </c>
      <c r="F56" s="4">
        <f t="shared" si="3"/>
        <v>0</v>
      </c>
      <c r="G56" s="4">
        <f t="shared" si="4"/>
        <v>1</v>
      </c>
      <c r="H56" s="3" t="s">
        <v>21</v>
      </c>
    </row>
    <row r="57">
      <c r="A57" s="14" t="s">
        <v>69</v>
      </c>
      <c r="B57" s="14" t="s">
        <v>13</v>
      </c>
      <c r="C57" s="10" t="s">
        <v>8</v>
      </c>
      <c r="D57" s="11">
        <v>1.0</v>
      </c>
      <c r="E57" s="11">
        <v>1.134514</v>
      </c>
      <c r="F57" s="4">
        <f t="shared" si="3"/>
        <v>0</v>
      </c>
      <c r="G57" s="4">
        <f t="shared" si="4"/>
        <v>1</v>
      </c>
      <c r="H57" s="3" t="s">
        <v>21</v>
      </c>
    </row>
    <row r="58">
      <c r="A58" s="14" t="s">
        <v>70</v>
      </c>
      <c r="B58" s="14" t="s">
        <v>13</v>
      </c>
      <c r="C58" s="10" t="s">
        <v>13</v>
      </c>
      <c r="D58" s="11">
        <v>1.0</v>
      </c>
      <c r="E58" s="11">
        <v>1.847521</v>
      </c>
      <c r="F58" s="4">
        <f t="shared" si="3"/>
        <v>0</v>
      </c>
      <c r="G58" s="4">
        <f t="shared" si="4"/>
        <v>1</v>
      </c>
      <c r="H58" s="3" t="s">
        <v>21</v>
      </c>
    </row>
    <row r="59">
      <c r="A59" s="14" t="s">
        <v>71</v>
      </c>
      <c r="B59" s="14" t="s">
        <v>8</v>
      </c>
      <c r="C59" s="10" t="s">
        <v>8</v>
      </c>
      <c r="D59" s="11">
        <v>1.0</v>
      </c>
      <c r="E59" s="11">
        <v>3.416354</v>
      </c>
      <c r="F59" s="4">
        <f t="shared" si="3"/>
        <v>0</v>
      </c>
      <c r="G59" s="4">
        <f t="shared" si="4"/>
        <v>1</v>
      </c>
      <c r="H59" s="3" t="s">
        <v>21</v>
      </c>
    </row>
    <row r="60">
      <c r="A60" s="14" t="s">
        <v>72</v>
      </c>
      <c r="B60" s="14" t="s">
        <v>8</v>
      </c>
      <c r="C60" s="10" t="s">
        <v>8</v>
      </c>
      <c r="D60" s="11">
        <v>1.0</v>
      </c>
      <c r="E60" s="11">
        <v>0.861265</v>
      </c>
      <c r="F60" s="4">
        <f t="shared" si="3"/>
        <v>0</v>
      </c>
      <c r="G60" s="4">
        <f t="shared" si="4"/>
        <v>1</v>
      </c>
      <c r="H60" s="3" t="s">
        <v>21</v>
      </c>
    </row>
    <row r="61">
      <c r="A61" s="14" t="s">
        <v>43</v>
      </c>
      <c r="B61" s="14" t="s">
        <v>13</v>
      </c>
      <c r="C61" s="10" t="s">
        <v>13</v>
      </c>
      <c r="D61" s="11">
        <v>1.0</v>
      </c>
      <c r="E61" s="11">
        <v>1.062989</v>
      </c>
      <c r="F61" s="4">
        <f t="shared" si="3"/>
        <v>0</v>
      </c>
      <c r="G61" s="4">
        <f t="shared" si="4"/>
        <v>1</v>
      </c>
      <c r="H61" s="3" t="s">
        <v>21</v>
      </c>
    </row>
    <row r="62">
      <c r="A62" s="14" t="s">
        <v>73</v>
      </c>
      <c r="B62" s="14" t="s">
        <v>8</v>
      </c>
      <c r="C62" s="10" t="s">
        <v>8</v>
      </c>
      <c r="D62" s="11">
        <v>1.0</v>
      </c>
      <c r="E62" s="11">
        <v>2.11033</v>
      </c>
      <c r="F62" s="4">
        <f t="shared" si="3"/>
        <v>0</v>
      </c>
      <c r="G62" s="4">
        <f t="shared" si="4"/>
        <v>1</v>
      </c>
      <c r="H62" s="3" t="s">
        <v>21</v>
      </c>
    </row>
    <row r="63">
      <c r="A63" s="14" t="s">
        <v>59</v>
      </c>
      <c r="B63" s="14" t="s">
        <v>13</v>
      </c>
      <c r="C63" s="10" t="s">
        <v>13</v>
      </c>
      <c r="D63" s="11">
        <v>1.0</v>
      </c>
      <c r="E63" s="11">
        <v>2.046357</v>
      </c>
      <c r="F63" s="4">
        <f t="shared" si="3"/>
        <v>0</v>
      </c>
      <c r="G63" s="4">
        <f t="shared" si="4"/>
        <v>1</v>
      </c>
      <c r="H63" s="3" t="s">
        <v>21</v>
      </c>
    </row>
    <row r="64">
      <c r="A64" s="14" t="s">
        <v>74</v>
      </c>
      <c r="B64" s="14" t="s">
        <v>8</v>
      </c>
      <c r="C64" s="10" t="s">
        <v>8</v>
      </c>
      <c r="D64" s="11">
        <v>1.0</v>
      </c>
      <c r="E64" s="11">
        <v>1.516339</v>
      </c>
      <c r="F64" s="4">
        <f t="shared" si="3"/>
        <v>0</v>
      </c>
      <c r="G64" s="4">
        <f t="shared" si="4"/>
        <v>1</v>
      </c>
      <c r="H64" s="3" t="s">
        <v>21</v>
      </c>
    </row>
    <row r="65">
      <c r="A65" s="14" t="s">
        <v>51</v>
      </c>
      <c r="B65" s="14" t="s">
        <v>13</v>
      </c>
      <c r="C65" s="10" t="s">
        <v>13</v>
      </c>
      <c r="D65" s="11">
        <v>1.0</v>
      </c>
      <c r="E65" s="11">
        <v>1.569247</v>
      </c>
      <c r="F65" s="4">
        <f t="shared" si="3"/>
        <v>0</v>
      </c>
      <c r="G65" s="4">
        <f t="shared" si="4"/>
        <v>1</v>
      </c>
      <c r="H65" s="3" t="s">
        <v>21</v>
      </c>
    </row>
    <row r="66">
      <c r="A66" s="14" t="s">
        <v>34</v>
      </c>
      <c r="B66" s="14" t="s">
        <v>13</v>
      </c>
      <c r="C66" s="10" t="s">
        <v>8</v>
      </c>
      <c r="D66" s="12">
        <v>0.0</v>
      </c>
      <c r="E66" s="11">
        <v>1.727935</v>
      </c>
      <c r="F66" s="4">
        <f t="shared" si="3"/>
        <v>0</v>
      </c>
      <c r="G66" s="15">
        <f t="shared" si="4"/>
        <v>0</v>
      </c>
      <c r="H66" s="3" t="s">
        <v>21</v>
      </c>
    </row>
    <row r="67">
      <c r="A67" s="14" t="s">
        <v>57</v>
      </c>
      <c r="B67" s="14" t="s">
        <v>13</v>
      </c>
      <c r="C67" s="10" t="s">
        <v>8</v>
      </c>
      <c r="D67" s="11">
        <v>1.0</v>
      </c>
      <c r="E67" s="11">
        <v>1.467169</v>
      </c>
      <c r="F67" s="4">
        <f t="shared" si="3"/>
        <v>0</v>
      </c>
      <c r="G67" s="4">
        <f t="shared" si="4"/>
        <v>1</v>
      </c>
      <c r="H67" s="3" t="s">
        <v>21</v>
      </c>
    </row>
    <row r="68">
      <c r="A68" s="14" t="s">
        <v>75</v>
      </c>
      <c r="B68" s="14" t="s">
        <v>8</v>
      </c>
      <c r="C68" s="10" t="s">
        <v>13</v>
      </c>
      <c r="D68" s="12">
        <v>0.0</v>
      </c>
      <c r="E68" s="11">
        <v>1.768105</v>
      </c>
      <c r="F68" s="4">
        <f t="shared" si="3"/>
        <v>0</v>
      </c>
      <c r="G68" s="15">
        <f t="shared" si="4"/>
        <v>0</v>
      </c>
      <c r="H68" s="3" t="s">
        <v>21</v>
      </c>
    </row>
    <row r="69">
      <c r="A69" s="14" t="s">
        <v>62</v>
      </c>
      <c r="B69" s="14" t="s">
        <v>13</v>
      </c>
      <c r="C69" s="10" t="s">
        <v>13</v>
      </c>
      <c r="D69" s="12">
        <v>0.0</v>
      </c>
      <c r="E69" s="11">
        <v>1.383158</v>
      </c>
      <c r="F69" s="4">
        <f t="shared" si="3"/>
        <v>0</v>
      </c>
      <c r="G69" s="15">
        <f t="shared" si="4"/>
        <v>0</v>
      </c>
      <c r="H69" s="3" t="s">
        <v>21</v>
      </c>
    </row>
    <row r="70">
      <c r="A70" s="14" t="s">
        <v>76</v>
      </c>
      <c r="B70" s="14" t="s">
        <v>8</v>
      </c>
      <c r="C70" s="10" t="s">
        <v>13</v>
      </c>
      <c r="D70" s="11">
        <v>1.0</v>
      </c>
      <c r="E70" s="11">
        <v>2.49763</v>
      </c>
      <c r="F70" s="4">
        <f t="shared" si="3"/>
        <v>0</v>
      </c>
      <c r="G70" s="4">
        <f t="shared" si="4"/>
        <v>1</v>
      </c>
      <c r="H70" s="3" t="s">
        <v>21</v>
      </c>
    </row>
    <row r="71">
      <c r="A71" s="14" t="s">
        <v>77</v>
      </c>
      <c r="B71" s="14" t="s">
        <v>8</v>
      </c>
      <c r="C71" s="10" t="s">
        <v>8</v>
      </c>
      <c r="D71" s="11">
        <v>1.0</v>
      </c>
      <c r="E71" s="11">
        <v>0.989907</v>
      </c>
      <c r="F71" s="4">
        <f t="shared" si="3"/>
        <v>0</v>
      </c>
      <c r="G71" s="4">
        <f t="shared" si="4"/>
        <v>1</v>
      </c>
      <c r="H71" s="3" t="s">
        <v>21</v>
      </c>
    </row>
    <row r="72">
      <c r="A72" s="14" t="s">
        <v>52</v>
      </c>
      <c r="B72" s="14" t="s">
        <v>13</v>
      </c>
      <c r="C72" s="10" t="s">
        <v>13</v>
      </c>
      <c r="D72" s="11">
        <v>1.0</v>
      </c>
      <c r="E72" s="11">
        <v>0.921924</v>
      </c>
      <c r="F72" s="4">
        <f t="shared" si="3"/>
        <v>0</v>
      </c>
      <c r="G72" s="4">
        <f t="shared" si="4"/>
        <v>1</v>
      </c>
      <c r="H72" s="3" t="s">
        <v>21</v>
      </c>
    </row>
    <row r="73">
      <c r="A73" s="14" t="s">
        <v>7</v>
      </c>
      <c r="B73" s="14" t="s">
        <v>13</v>
      </c>
      <c r="C73" s="10" t="s">
        <v>8</v>
      </c>
      <c r="D73" s="11">
        <v>1.0</v>
      </c>
      <c r="E73" s="11">
        <v>2.891401</v>
      </c>
      <c r="F73" s="4">
        <f t="shared" si="3"/>
        <v>0</v>
      </c>
      <c r="G73" s="4">
        <f t="shared" si="4"/>
        <v>1</v>
      </c>
      <c r="H73" s="3" t="s">
        <v>21</v>
      </c>
    </row>
    <row r="74">
      <c r="A74" s="14" t="s">
        <v>78</v>
      </c>
      <c r="B74" s="14" t="s">
        <v>8</v>
      </c>
      <c r="C74" s="10" t="s">
        <v>13</v>
      </c>
      <c r="D74" s="11">
        <v>1.0</v>
      </c>
      <c r="E74" s="11">
        <v>1.49587</v>
      </c>
      <c r="F74" s="4">
        <f t="shared" si="3"/>
        <v>0</v>
      </c>
      <c r="G74" s="4">
        <f t="shared" si="4"/>
        <v>1</v>
      </c>
      <c r="H74" s="3" t="s">
        <v>21</v>
      </c>
    </row>
    <row r="75">
      <c r="A75" s="14" t="s">
        <v>79</v>
      </c>
      <c r="B75" s="14" t="s">
        <v>13</v>
      </c>
      <c r="C75" s="10" t="s">
        <v>8</v>
      </c>
      <c r="D75" s="11">
        <v>1.0</v>
      </c>
      <c r="E75" s="11">
        <v>0.850668</v>
      </c>
      <c r="F75" s="4">
        <f t="shared" si="3"/>
        <v>0</v>
      </c>
      <c r="G75" s="4">
        <f t="shared" si="4"/>
        <v>1</v>
      </c>
      <c r="H75" s="3" t="s">
        <v>21</v>
      </c>
    </row>
    <row r="76">
      <c r="A76" s="14" t="s">
        <v>80</v>
      </c>
      <c r="B76" s="14" t="s">
        <v>8</v>
      </c>
      <c r="C76" s="10" t="s">
        <v>8</v>
      </c>
      <c r="D76" s="11">
        <v>1.0</v>
      </c>
      <c r="E76" s="11">
        <v>1.64079</v>
      </c>
      <c r="F76" s="4">
        <f t="shared" si="3"/>
        <v>0</v>
      </c>
      <c r="G76" s="4">
        <f t="shared" si="4"/>
        <v>1</v>
      </c>
      <c r="H76" s="3" t="s">
        <v>21</v>
      </c>
    </row>
    <row r="77">
      <c r="A77" s="14" t="s">
        <v>33</v>
      </c>
      <c r="B77" s="14" t="s">
        <v>13</v>
      </c>
      <c r="C77" s="10" t="s">
        <v>13</v>
      </c>
      <c r="D77" s="11">
        <v>1.0</v>
      </c>
      <c r="E77" s="11">
        <v>0.961153</v>
      </c>
      <c r="F77" s="4">
        <f t="shared" si="3"/>
        <v>0</v>
      </c>
      <c r="G77" s="4">
        <f t="shared" si="4"/>
        <v>1</v>
      </c>
      <c r="H77" s="3" t="s">
        <v>21</v>
      </c>
    </row>
    <row r="78">
      <c r="A78" s="14" t="s">
        <v>81</v>
      </c>
      <c r="B78" s="14" t="s">
        <v>13</v>
      </c>
      <c r="C78" s="10" t="s">
        <v>8</v>
      </c>
      <c r="D78" s="11">
        <v>1.0</v>
      </c>
      <c r="E78" s="11">
        <v>2.970737</v>
      </c>
      <c r="F78" s="4">
        <f t="shared" si="3"/>
        <v>0</v>
      </c>
      <c r="G78" s="4">
        <f t="shared" si="4"/>
        <v>1</v>
      </c>
      <c r="H78" s="3" t="s">
        <v>21</v>
      </c>
    </row>
    <row r="79">
      <c r="A79" s="14" t="s">
        <v>82</v>
      </c>
      <c r="B79" s="14" t="s">
        <v>13</v>
      </c>
      <c r="C79" s="10" t="s">
        <v>13</v>
      </c>
      <c r="D79" s="11">
        <v>1.0</v>
      </c>
      <c r="E79" s="11">
        <v>2.171236</v>
      </c>
      <c r="F79" s="4">
        <f t="shared" si="3"/>
        <v>0</v>
      </c>
      <c r="G79" s="4">
        <f t="shared" si="4"/>
        <v>1</v>
      </c>
      <c r="H79" s="3" t="s">
        <v>21</v>
      </c>
    </row>
    <row r="80">
      <c r="A80" s="14" t="s">
        <v>47</v>
      </c>
      <c r="B80" s="14" t="s">
        <v>13</v>
      </c>
      <c r="C80" s="10" t="s">
        <v>8</v>
      </c>
      <c r="D80" s="11">
        <v>1.0</v>
      </c>
      <c r="E80" s="11">
        <v>1.665001</v>
      </c>
      <c r="F80" s="4">
        <f t="shared" si="3"/>
        <v>0</v>
      </c>
      <c r="G80" s="4">
        <f t="shared" si="4"/>
        <v>1</v>
      </c>
      <c r="H80" s="3" t="s">
        <v>21</v>
      </c>
    </row>
    <row r="81">
      <c r="A81" s="14" t="s">
        <v>83</v>
      </c>
      <c r="B81" s="14" t="s">
        <v>8</v>
      </c>
      <c r="C81" s="10" t="s">
        <v>13</v>
      </c>
      <c r="D81" s="11">
        <v>1.0</v>
      </c>
      <c r="E81" s="11">
        <v>1.05095</v>
      </c>
      <c r="F81" s="4">
        <f t="shared" si="3"/>
        <v>0</v>
      </c>
      <c r="G81" s="4">
        <f t="shared" si="4"/>
        <v>1</v>
      </c>
      <c r="H81" s="3" t="s">
        <v>21</v>
      </c>
    </row>
    <row r="82">
      <c r="A82" s="14" t="s">
        <v>25</v>
      </c>
      <c r="B82" s="14" t="s">
        <v>13</v>
      </c>
      <c r="C82" s="10" t="s">
        <v>13</v>
      </c>
      <c r="D82" s="11">
        <v>1.0</v>
      </c>
      <c r="E82" s="11">
        <v>1.767728</v>
      </c>
      <c r="F82" s="4">
        <f t="shared" si="3"/>
        <v>0</v>
      </c>
      <c r="G82" s="4">
        <f t="shared" si="4"/>
        <v>1</v>
      </c>
      <c r="H82" s="3" t="s">
        <v>21</v>
      </c>
    </row>
    <row r="83">
      <c r="A83" s="14" t="s">
        <v>24</v>
      </c>
      <c r="B83" s="14" t="s">
        <v>13</v>
      </c>
      <c r="C83" s="10" t="s">
        <v>8</v>
      </c>
      <c r="D83" s="11">
        <v>1.0</v>
      </c>
      <c r="E83" s="11">
        <v>1.635776</v>
      </c>
      <c r="F83" s="4">
        <f t="shared" si="3"/>
        <v>0</v>
      </c>
      <c r="G83" s="4">
        <f t="shared" si="4"/>
        <v>1</v>
      </c>
      <c r="H83" s="3" t="s">
        <v>21</v>
      </c>
    </row>
    <row r="84">
      <c r="A84" s="14" t="s">
        <v>84</v>
      </c>
      <c r="B84" s="14" t="s">
        <v>8</v>
      </c>
      <c r="C84" s="10" t="s">
        <v>13</v>
      </c>
      <c r="D84" s="11">
        <v>1.0</v>
      </c>
      <c r="E84" s="11">
        <v>3.345198</v>
      </c>
      <c r="F84" s="4">
        <f t="shared" si="3"/>
        <v>0</v>
      </c>
      <c r="G84" s="4">
        <f t="shared" si="4"/>
        <v>1</v>
      </c>
      <c r="H84" s="3" t="s">
        <v>21</v>
      </c>
    </row>
    <row r="85">
      <c r="A85" s="14" t="s">
        <v>11</v>
      </c>
      <c r="B85" s="14" t="s">
        <v>13</v>
      </c>
      <c r="C85" s="10" t="s">
        <v>13</v>
      </c>
      <c r="D85" s="11">
        <v>1.0</v>
      </c>
      <c r="E85" s="11">
        <v>1.017401</v>
      </c>
      <c r="F85" s="4">
        <f t="shared" si="3"/>
        <v>0</v>
      </c>
      <c r="G85" s="4">
        <f t="shared" si="4"/>
        <v>1</v>
      </c>
      <c r="H85" s="3" t="s">
        <v>21</v>
      </c>
    </row>
    <row r="86">
      <c r="A86" s="14" t="s">
        <v>53</v>
      </c>
      <c r="B86" s="14" t="s">
        <v>13</v>
      </c>
      <c r="C86" s="10" t="s">
        <v>13</v>
      </c>
      <c r="D86" s="11">
        <v>1.0</v>
      </c>
      <c r="E86" s="11">
        <v>0.58706</v>
      </c>
      <c r="F86" s="4">
        <f t="shared" si="3"/>
        <v>0</v>
      </c>
      <c r="G86" s="4">
        <f t="shared" si="4"/>
        <v>1</v>
      </c>
      <c r="H86" s="3" t="s">
        <v>21</v>
      </c>
    </row>
    <row r="87">
      <c r="A87" s="14" t="s">
        <v>85</v>
      </c>
      <c r="B87" s="14" t="s">
        <v>8</v>
      </c>
      <c r="C87" s="10" t="s">
        <v>13</v>
      </c>
      <c r="D87" s="12">
        <v>0.0</v>
      </c>
      <c r="E87" s="11">
        <v>1.430002</v>
      </c>
      <c r="F87" s="4">
        <f t="shared" si="3"/>
        <v>0</v>
      </c>
      <c r="G87" s="15">
        <f t="shared" si="4"/>
        <v>0</v>
      </c>
      <c r="H87" s="3" t="s">
        <v>21</v>
      </c>
    </row>
    <row r="88">
      <c r="A88" s="14" t="s">
        <v>86</v>
      </c>
      <c r="B88" s="14" t="s">
        <v>8</v>
      </c>
      <c r="C88" s="10" t="s">
        <v>13</v>
      </c>
      <c r="D88" s="11">
        <v>1.0</v>
      </c>
      <c r="E88" s="11">
        <v>1.25947</v>
      </c>
      <c r="F88" s="4">
        <f t="shared" si="3"/>
        <v>0</v>
      </c>
      <c r="G88" s="4">
        <f t="shared" si="4"/>
        <v>1</v>
      </c>
      <c r="H88" s="3" t="s">
        <v>21</v>
      </c>
    </row>
    <row r="89">
      <c r="A89" s="14" t="s">
        <v>87</v>
      </c>
      <c r="B89" s="14" t="s">
        <v>8</v>
      </c>
      <c r="C89" s="10" t="s">
        <v>8</v>
      </c>
      <c r="D89" s="11">
        <v>1.0</v>
      </c>
      <c r="E89" s="11">
        <v>1.726422</v>
      </c>
      <c r="F89" s="4">
        <f t="shared" si="3"/>
        <v>0</v>
      </c>
      <c r="G89" s="4">
        <f t="shared" si="4"/>
        <v>1</v>
      </c>
      <c r="H89" s="3" t="s">
        <v>21</v>
      </c>
    </row>
    <row r="90">
      <c r="A90" s="14" t="s">
        <v>88</v>
      </c>
      <c r="B90" s="14" t="s">
        <v>8</v>
      </c>
      <c r="C90" s="10" t="s">
        <v>13</v>
      </c>
      <c r="D90" s="11">
        <v>1.0</v>
      </c>
      <c r="E90" s="11">
        <v>1.134187</v>
      </c>
      <c r="F90" s="4">
        <f t="shared" si="3"/>
        <v>0</v>
      </c>
      <c r="G90" s="4">
        <f t="shared" si="4"/>
        <v>1</v>
      </c>
      <c r="H90" s="3" t="s">
        <v>21</v>
      </c>
    </row>
    <row r="91">
      <c r="A91" s="14" t="s">
        <v>89</v>
      </c>
      <c r="B91" s="14" t="s">
        <v>8</v>
      </c>
      <c r="C91" s="10" t="s">
        <v>13</v>
      </c>
      <c r="D91" s="11">
        <v>1.0</v>
      </c>
      <c r="E91" s="11">
        <v>1.062983</v>
      </c>
      <c r="F91" s="4">
        <f t="shared" si="3"/>
        <v>0</v>
      </c>
      <c r="G91" s="4">
        <f t="shared" si="4"/>
        <v>1</v>
      </c>
      <c r="H91" s="3" t="s">
        <v>21</v>
      </c>
    </row>
    <row r="92">
      <c r="A92" s="14" t="s">
        <v>61</v>
      </c>
      <c r="B92" s="14" t="s">
        <v>13</v>
      </c>
      <c r="C92" s="10" t="s">
        <v>13</v>
      </c>
      <c r="D92" s="11">
        <v>1.0</v>
      </c>
      <c r="E92" s="11">
        <v>0.860803</v>
      </c>
      <c r="F92" s="4">
        <f t="shared" si="3"/>
        <v>0</v>
      </c>
      <c r="G92" s="4">
        <f t="shared" si="4"/>
        <v>1</v>
      </c>
      <c r="H92" s="3" t="s">
        <v>21</v>
      </c>
    </row>
    <row r="93">
      <c r="A93" s="14" t="s">
        <v>19</v>
      </c>
      <c r="B93" s="14" t="s">
        <v>13</v>
      </c>
      <c r="C93" s="10" t="s">
        <v>13</v>
      </c>
      <c r="D93" s="11">
        <v>1.0</v>
      </c>
      <c r="E93" s="11">
        <v>1.149833</v>
      </c>
      <c r="F93" s="4">
        <f t="shared" si="3"/>
        <v>0</v>
      </c>
      <c r="G93" s="4">
        <f t="shared" si="4"/>
        <v>1</v>
      </c>
      <c r="H93" s="3" t="s">
        <v>21</v>
      </c>
    </row>
    <row r="94">
      <c r="A94" s="14" t="s">
        <v>90</v>
      </c>
      <c r="B94" s="14" t="s">
        <v>13</v>
      </c>
      <c r="C94" s="10" t="s">
        <v>13</v>
      </c>
      <c r="D94" s="11">
        <v>1.0</v>
      </c>
      <c r="E94" s="11">
        <v>1.116913</v>
      </c>
      <c r="F94" s="4">
        <f t="shared" si="3"/>
        <v>0</v>
      </c>
      <c r="G94" s="4">
        <f t="shared" si="4"/>
        <v>1</v>
      </c>
      <c r="H94" s="3" t="s">
        <v>21</v>
      </c>
    </row>
    <row r="95">
      <c r="A95" s="14" t="s">
        <v>91</v>
      </c>
      <c r="B95" s="14" t="s">
        <v>8</v>
      </c>
      <c r="C95" s="10" t="s">
        <v>13</v>
      </c>
      <c r="D95" s="11">
        <v>1.0</v>
      </c>
      <c r="E95" s="11">
        <v>0.638775</v>
      </c>
      <c r="F95" s="4">
        <f t="shared" si="3"/>
        <v>0</v>
      </c>
      <c r="G95" s="4">
        <f t="shared" si="4"/>
        <v>1</v>
      </c>
      <c r="H95" s="3" t="s">
        <v>21</v>
      </c>
    </row>
    <row r="96">
      <c r="A96" s="14" t="s">
        <v>92</v>
      </c>
      <c r="B96" s="14" t="s">
        <v>8</v>
      </c>
      <c r="C96" s="10" t="s">
        <v>8</v>
      </c>
      <c r="D96" s="11">
        <v>1.0</v>
      </c>
      <c r="E96" s="11">
        <v>1.626433</v>
      </c>
      <c r="F96" s="4">
        <f t="shared" si="3"/>
        <v>0</v>
      </c>
      <c r="G96" s="4">
        <f t="shared" si="4"/>
        <v>1</v>
      </c>
      <c r="H96" s="3" t="s">
        <v>21</v>
      </c>
    </row>
    <row r="97">
      <c r="A97" s="14" t="s">
        <v>93</v>
      </c>
      <c r="B97" s="14" t="s">
        <v>8</v>
      </c>
      <c r="C97" s="10" t="s">
        <v>8</v>
      </c>
      <c r="D97" s="11">
        <v>1.0</v>
      </c>
      <c r="E97" s="11">
        <v>1.036693</v>
      </c>
      <c r="F97" s="4">
        <f t="shared" si="3"/>
        <v>0</v>
      </c>
      <c r="G97" s="4">
        <f t="shared" si="4"/>
        <v>1</v>
      </c>
      <c r="H97" s="3" t="s">
        <v>21</v>
      </c>
    </row>
    <row r="98">
      <c r="A98" s="14" t="s">
        <v>94</v>
      </c>
      <c r="B98" s="14" t="s">
        <v>8</v>
      </c>
      <c r="C98" s="10" t="s">
        <v>13</v>
      </c>
      <c r="D98" s="11">
        <v>1.0</v>
      </c>
      <c r="E98" s="11">
        <v>1.486494</v>
      </c>
      <c r="F98" s="4">
        <f t="shared" si="3"/>
        <v>0</v>
      </c>
      <c r="G98" s="4">
        <f t="shared" si="4"/>
        <v>1</v>
      </c>
      <c r="H98" s="3" t="s">
        <v>21</v>
      </c>
    </row>
    <row r="99">
      <c r="A99" s="14" t="s">
        <v>17</v>
      </c>
      <c r="B99" s="14" t="s">
        <v>8</v>
      </c>
      <c r="C99" s="10" t="s">
        <v>8</v>
      </c>
      <c r="D99" s="11">
        <v>1.0</v>
      </c>
      <c r="E99" s="11">
        <v>1.446524</v>
      </c>
      <c r="F99" s="4">
        <f t="shared" si="3"/>
        <v>0</v>
      </c>
      <c r="G99" s="4">
        <f t="shared" si="4"/>
        <v>1</v>
      </c>
      <c r="H99" s="3" t="s">
        <v>21</v>
      </c>
    </row>
    <row r="100">
      <c r="A100" s="14" t="s">
        <v>95</v>
      </c>
      <c r="B100" s="14" t="s">
        <v>8</v>
      </c>
      <c r="C100" s="10" t="s">
        <v>8</v>
      </c>
      <c r="D100" s="11">
        <v>1.0</v>
      </c>
      <c r="E100" s="11">
        <v>2.757401</v>
      </c>
      <c r="F100" s="4">
        <f t="shared" si="3"/>
        <v>0</v>
      </c>
      <c r="G100" s="4">
        <f t="shared" si="4"/>
        <v>1</v>
      </c>
      <c r="H100" s="3" t="s">
        <v>21</v>
      </c>
    </row>
    <row r="101">
      <c r="A101" s="14" t="s">
        <v>60</v>
      </c>
      <c r="B101" s="14" t="s">
        <v>13</v>
      </c>
      <c r="C101" s="10" t="s">
        <v>8</v>
      </c>
      <c r="D101" s="11">
        <v>1.0</v>
      </c>
      <c r="E101" s="11">
        <v>2.079939</v>
      </c>
      <c r="F101" s="4">
        <f t="shared" si="3"/>
        <v>0</v>
      </c>
      <c r="G101" s="4">
        <f t="shared" si="4"/>
        <v>1</v>
      </c>
      <c r="H101" s="3" t="s">
        <v>21</v>
      </c>
    </row>
    <row r="102">
      <c r="A102" s="14" t="s">
        <v>44</v>
      </c>
      <c r="B102" s="14" t="s">
        <v>13</v>
      </c>
      <c r="C102" s="10" t="s">
        <v>13</v>
      </c>
      <c r="D102" s="11">
        <v>1.0</v>
      </c>
      <c r="E102" s="11">
        <v>1.099764</v>
      </c>
      <c r="F102" s="4">
        <f t="shared" si="3"/>
        <v>0</v>
      </c>
      <c r="G102" s="4">
        <f t="shared" si="4"/>
        <v>1</v>
      </c>
      <c r="H102" s="3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20.75"/>
    <col customWidth="1" min="4" max="4" width="18.38"/>
    <col customWidth="1" min="5" max="5" width="21.5"/>
    <col customWidth="1" min="6" max="6" width="14.5"/>
  </cols>
  <sheetData>
    <row r="1">
      <c r="A1" s="19" t="s">
        <v>111</v>
      </c>
      <c r="B1" s="19" t="s">
        <v>112</v>
      </c>
      <c r="C1" s="19" t="s">
        <v>113</v>
      </c>
      <c r="D1" s="19" t="s">
        <v>114</v>
      </c>
      <c r="E1" s="19" t="s">
        <v>27</v>
      </c>
      <c r="F1" s="19" t="s">
        <v>115</v>
      </c>
    </row>
    <row r="2">
      <c r="A2" s="20" t="s">
        <v>116</v>
      </c>
      <c r="B2" s="21">
        <v>0.8974351</v>
      </c>
      <c r="C2" s="21">
        <v>0.9121615</v>
      </c>
      <c r="D2" s="20">
        <v>96.0</v>
      </c>
      <c r="E2" s="20">
        <v>72.0</v>
      </c>
      <c r="F2" s="21">
        <v>0.0147264</v>
      </c>
    </row>
    <row r="3">
      <c r="A3" s="20" t="s">
        <v>117</v>
      </c>
      <c r="B3" s="20">
        <v>0.87858915</v>
      </c>
      <c r="C3" s="20">
        <v>0.9442135</v>
      </c>
      <c r="D3" s="20">
        <v>96.0</v>
      </c>
      <c r="E3" s="20">
        <v>68.0</v>
      </c>
      <c r="F3" s="20">
        <v>0.06562435</v>
      </c>
    </row>
    <row r="4">
      <c r="A4" s="20" t="s">
        <v>118</v>
      </c>
      <c r="B4" s="20">
        <v>0.8437563</v>
      </c>
      <c r="C4" s="20">
        <v>0.861701</v>
      </c>
      <c r="D4" s="20">
        <v>90.0</v>
      </c>
      <c r="E4" s="20">
        <v>68.0</v>
      </c>
      <c r="F4" s="20">
        <v>0.0179447</v>
      </c>
    </row>
    <row r="5">
      <c r="A5" s="20" t="s">
        <v>119</v>
      </c>
      <c r="B5" s="20">
        <v>0.855403</v>
      </c>
      <c r="C5" s="20">
        <v>0.835689</v>
      </c>
      <c r="D5" s="20">
        <v>88.0</v>
      </c>
      <c r="E5" s="20">
        <v>66.0</v>
      </c>
      <c r="F5" s="20">
        <v>-0.019714</v>
      </c>
    </row>
    <row r="6">
      <c r="A6" s="20" t="s">
        <v>120</v>
      </c>
      <c r="B6" s="20">
        <v>0.792908</v>
      </c>
      <c r="C6" s="20">
        <v>1.446524</v>
      </c>
      <c r="D6" s="20">
        <v>86.0</v>
      </c>
      <c r="E6" s="20">
        <v>90.0</v>
      </c>
      <c r="F6" s="20">
        <v>0.653616</v>
      </c>
    </row>
    <row r="9">
      <c r="A9" s="22" t="s">
        <v>121</v>
      </c>
      <c r="B9" s="23">
        <f t="shared" ref="B9:F9" si="1">AVERAGE(B2:B6)</f>
        <v>0.85361831</v>
      </c>
      <c r="C9" s="23">
        <f t="shared" si="1"/>
        <v>1.0000578</v>
      </c>
      <c r="D9" s="23">
        <f t="shared" si="1"/>
        <v>91.2</v>
      </c>
      <c r="E9" s="23">
        <f t="shared" si="1"/>
        <v>72.8</v>
      </c>
      <c r="F9" s="23">
        <f t="shared" si="1"/>
        <v>0.14643949</v>
      </c>
    </row>
    <row r="10">
      <c r="A10" s="22" t="s">
        <v>122</v>
      </c>
      <c r="B10" s="23">
        <f t="shared" ref="B10:F10" si="2">STDEV(B2:B6)</f>
        <v>0.03977951746</v>
      </c>
      <c r="C10" s="23">
        <f t="shared" si="2"/>
        <v>0.253148237</v>
      </c>
      <c r="D10" s="23">
        <f t="shared" si="2"/>
        <v>4.604345773</v>
      </c>
      <c r="E10" s="23">
        <f t="shared" si="2"/>
        <v>9.859006035</v>
      </c>
      <c r="F10" s="23">
        <f t="shared" si="2"/>
        <v>0.2851426531</v>
      </c>
    </row>
    <row r="13">
      <c r="B13" s="1"/>
      <c r="C13" s="3"/>
    </row>
    <row r="17">
      <c r="C17" s="3" t="s">
        <v>123</v>
      </c>
    </row>
    <row r="18">
      <c r="B18" s="3" t="s">
        <v>124</v>
      </c>
      <c r="C18" s="4">
        <f>B9</f>
        <v>0.85361831</v>
      </c>
    </row>
    <row r="19">
      <c r="B19" s="3" t="s">
        <v>125</v>
      </c>
      <c r="C19" s="4">
        <f>C9</f>
        <v>1.0000578</v>
      </c>
    </row>
    <row r="31">
      <c r="C31" s="3" t="s">
        <v>126</v>
      </c>
    </row>
    <row r="32">
      <c r="B32" s="3" t="s">
        <v>127</v>
      </c>
      <c r="C32" s="4">
        <f>D9</f>
        <v>91.2</v>
      </c>
    </row>
    <row r="33">
      <c r="B33" s="3" t="s">
        <v>128</v>
      </c>
      <c r="C33" s="4">
        <f>E9</f>
        <v>72.8</v>
      </c>
    </row>
  </sheetData>
  <drawing r:id="rId1"/>
</worksheet>
</file>