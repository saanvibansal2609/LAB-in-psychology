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Pivot Table 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<sst xmlns="http://schemas.openxmlformats.org/spreadsheetml/2006/main" count="3990" uniqueCount="1013">
  <si>
    <t>Participant- 1</t>
  </si>
  <si>
    <t>F-21</t>
  </si>
  <si>
    <t>Participant - 2</t>
  </si>
  <si>
    <t xml:space="preserve">Participant-3 </t>
  </si>
  <si>
    <t>M-20</t>
  </si>
  <si>
    <t>Participant-4</t>
  </si>
  <si>
    <t>Participant-5</t>
  </si>
  <si>
    <t>M-21</t>
  </si>
  <si>
    <t>thisN</t>
  </si>
  <si>
    <t>mouse.time</t>
  </si>
  <si>
    <t>mouse.clicked_name</t>
  </si>
  <si>
    <t>num_distr</t>
  </si>
  <si>
    <t>[1.6360458000563085]</t>
  </si>
  <si>
    <t>['Target']</t>
  </si>
  <si>
    <t>[1.4026078000897542]</t>
  </si>
  <si>
    <t>[5.514537699986249]</t>
  </si>
  <si>
    <t>[1.167593300000135]</t>
  </si>
  <si>
    <t>['target']</t>
  </si>
  <si>
    <t>[1.6286541000008583]</t>
  </si>
  <si>
    <t>[1.3812814999837428]</t>
  </si>
  <si>
    <t>[1.651423699920997]</t>
  </si>
  <si>
    <t>[1.7577572000445798]</t>
  </si>
  <si>
    <t>[1.6581035999997766]</t>
  </si>
  <si>
    <t>[1.2876787000004697]</t>
  </si>
  <si>
    <t>[1.2824711999855936]</t>
  </si>
  <si>
    <t>[1.4458158001070842]</t>
  </si>
  <si>
    <t>[2.4036398000316694]</t>
  </si>
  <si>
    <t>[1.3623592000003555]</t>
  </si>
  <si>
    <t>[1.3970103999999992]</t>
  </si>
  <si>
    <t>[1.4058180999709293]</t>
  </si>
  <si>
    <t>[2.435042400029488]</t>
  </si>
  <si>
    <t>[1.3511375000234693]</t>
  </si>
  <si>
    <t>[1.2113867999996728]</t>
  </si>
  <si>
    <t>[1.4217067999998108]</t>
  </si>
  <si>
    <t>[1.1526332000503317]</t>
  </si>
  <si>
    <t>[1.4482911999803036]</t>
  </si>
  <si>
    <t>[1.6532532999990508]</t>
  </si>
  <si>
    <t>[1.7085446000000957]</t>
  </si>
  <si>
    <t>[1.5114642000007734]</t>
  </si>
  <si>
    <t>[1.2165766999823973]</t>
  </si>
  <si>
    <t>[1.147078900015913]</t>
  </si>
  <si>
    <t>[2.163925200002268]</t>
  </si>
  <si>
    <t>[1.7491405000000668]</t>
  </si>
  <si>
    <t>[1.8526841000002605]</t>
  </si>
  <si>
    <t>[1.4324399000033736]</t>
  </si>
  <si>
    <t>[1.202203799970448]</t>
  </si>
  <si>
    <t>[1.247594099957496]</t>
  </si>
  <si>
    <t>[1.3191130000000157]</t>
  </si>
  <si>
    <t>[1.7769243000002461]</t>
  </si>
  <si>
    <t>[1.3235194999724627]</t>
  </si>
  <si>
    <t>[1.9333456000313163]</t>
  </si>
  <si>
    <t>[1.185213299933821]</t>
  </si>
  <si>
    <t>[1.252780900000289]</t>
  </si>
  <si>
    <t>[1.7213981999993848]</t>
  </si>
  <si>
    <t>[1.3995187999680638]</t>
  </si>
  <si>
    <t>[1.5847038999199867]</t>
  </si>
  <si>
    <t>[1.134872499969788]</t>
  </si>
  <si>
    <t>[1.5821847999995953]</t>
  </si>
  <si>
    <t>[2.5720311000004585]</t>
  </si>
  <si>
    <t>[1.499701299937442]</t>
  </si>
  <si>
    <t>[1.41800070006866]</t>
  </si>
  <si>
    <t>[1.3175812000408769]</t>
  </si>
  <si>
    <t>[1.2605905000000348]</t>
  </si>
  <si>
    <t>[1.688478000000032]</t>
  </si>
  <si>
    <t>[1.1690482998965308]</t>
  </si>
  <si>
    <t>[2.4361826999811456]</t>
  </si>
  <si>
    <t>[1.6525425999425352]</t>
  </si>
  <si>
    <t>[2.0659937000000355]</t>
  </si>
  <si>
    <t>[1.6646383999996033]</t>
  </si>
  <si>
    <t>[1.1038406000006944]</t>
  </si>
  <si>
    <t>[2.0378136000363156]</t>
  </si>
  <si>
    <t>[1.7626781000290066]</t>
  </si>
  <si>
    <t>[1.184313999999631]</t>
  </si>
  <si>
    <t>[1.2829751999997825]</t>
  </si>
  <si>
    <t>[2.255069600068964]</t>
  </si>
  <si>
    <t>[1.2141157001024112]</t>
  </si>
  <si>
    <t>[1.4445193999999901]</t>
  </si>
  <si>
    <t>[1.605443100001139]</t>
  </si>
  <si>
    <t>[1.166150699951686]</t>
  </si>
  <si>
    <t>[3.529348599957302]</t>
  </si>
  <si>
    <t>[2.4036465999670327]</t>
  </si>
  <si>
    <t>[1.535848900000019]</t>
  </si>
  <si>
    <t>[2.171025200001168]</t>
  </si>
  <si>
    <t>[1.082105299923569]</t>
  </si>
  <si>
    <t>[1.2886223000241444]</t>
  </si>
  <si>
    <t>[3.2046348999720067]</t>
  </si>
  <si>
    <t>[1.2845112999998491]</t>
  </si>
  <si>
    <t>[1.7435213000007934]</t>
  </si>
  <si>
    <t>[1.5698699000058696]</t>
  </si>
  <si>
    <t>[1.6196173999924213]</t>
  </si>
  <si>
    <t>[1.1827435999875888]</t>
  </si>
  <si>
    <t>[2.223346499999934]</t>
  </si>
  <si>
    <t>[1.5771872000004805]</t>
  </si>
  <si>
    <t>[3.450730000040494]</t>
  </si>
  <si>
    <t>[1.3652691000606865]</t>
  </si>
  <si>
    <t>[1.001276700058952]</t>
  </si>
  <si>
    <t>[1.4642110000004323]</t>
  </si>
  <si>
    <t>[1.3767644999988988]</t>
  </si>
  <si>
    <t>[1.4324913999298587]</t>
  </si>
  <si>
    <t>[1.4176226999843493]</t>
  </si>
  <si>
    <t>[1.1683765000002495]</t>
  </si>
  <si>
    <t>[1.5523886000009952]</t>
  </si>
  <si>
    <t>[1.2507439000764862]</t>
  </si>
  <si>
    <t>[1.8311285999370739]</t>
  </si>
  <si>
    <t>[0.9626127999508753]</t>
  </si>
  <si>
    <t>[1.7407837999999174]</t>
  </si>
  <si>
    <t>[1.2965497000004689]</t>
  </si>
  <si>
    <t>[2.988260200014338]</t>
  </si>
  <si>
    <t>[1.1188500000862405]</t>
  </si>
  <si>
    <t>[2.8546144999563694]</t>
  </si>
  <si>
    <t>[1.4208020999999462]</t>
  </si>
  <si>
    <t>[1.5466952999995556]</t>
  </si>
  <si>
    <t>[1.4825809000758454]</t>
  </si>
  <si>
    <t>[1.6663766000419855]</t>
  </si>
  <si>
    <t>[1.149648700025864]</t>
  </si>
  <si>
    <t>[1.3895834999998442]</t>
  </si>
  <si>
    <t>[2.9039811000002373]</t>
  </si>
  <si>
    <t>[1.2335974000161514]</t>
  </si>
  <si>
    <t>[2.5151171000907198]</t>
  </si>
  <si>
    <t>[1.5972431000554934]</t>
  </si>
  <si>
    <t>[1.3992238999999245]</t>
  </si>
  <si>
    <t>[3.2794212000007974]</t>
  </si>
  <si>
    <t>[1.186085099936463]</t>
  </si>
  <si>
    <t>[1.551373399910517]</t>
  </si>
  <si>
    <t>[1.2199111999943852]</t>
  </si>
  <si>
    <t>[1.5434672999999748]</t>
  </si>
  <si>
    <t>[1.4265715000001364]</t>
  </si>
  <si>
    <t>[1.7754215999739245]</t>
  </si>
  <si>
    <t>[0.9814702000003308]</t>
  </si>
  <si>
    <t>[1.4943905000000086]</t>
  </si>
  <si>
    <t>[1.553558100000373]</t>
  </si>
  <si>
    <t>[1.2191051000263542]</t>
  </si>
  <si>
    <t>[2.368324200040661]</t>
  </si>
  <si>
    <t>[1.728516999981366]</t>
  </si>
  <si>
    <t>[1.5896700000002966]</t>
  </si>
  <si>
    <t>[1.3123233999995136]</t>
  </si>
  <si>
    <t>[1.3231234000995755]</t>
  </si>
  <si>
    <t>[3.0189700999762863]</t>
  </si>
  <si>
    <t>[2.7844355000415817]</t>
  </si>
  <si>
    <t>[1.0658238999999412]</t>
  </si>
  <si>
    <t>[1.2291774000004807]</t>
  </si>
  <si>
    <t>[1.3489815999055281]</t>
  </si>
  <si>
    <t>[1.3844495000084862]</t>
  </si>
  <si>
    <t>[2.5332555000204593]</t>
  </si>
  <si>
    <t>[1.5894029000000955]</t>
  </si>
  <si>
    <t>[1.5533702000011544]</t>
  </si>
  <si>
    <t>[2.0895844999467954]</t>
  </si>
  <si>
    <t>[1.870508800027892]</t>
  </si>
  <si>
    <t>[1.3393747999798506]</t>
  </si>
  <si>
    <t>[1.6089944000000287]</t>
  </si>
  <si>
    <t>[2.0462508000000525]</t>
  </si>
  <si>
    <t>[1.4857679998967797]</t>
  </si>
  <si>
    <t>[1.7149268999928609]</t>
  </si>
  <si>
    <t>[3.7389676000457257]</t>
  </si>
  <si>
    <t>[1.5555045999999493]</t>
  </si>
  <si>
    <t>[1.66857600000003]</t>
  </si>
  <si>
    <t>[1.0310031999833882]</t>
  </si>
  <si>
    <t>[1.5194317999994382]</t>
  </si>
  <si>
    <t>[1.366751299938187]</t>
  </si>
  <si>
    <t>[1.5416949999998906]</t>
  </si>
  <si>
    <t>[3.1241915999999037]</t>
  </si>
  <si>
    <t>[1.8249829000560567]</t>
  </si>
  <si>
    <t>[1.3350246000336483]</t>
  </si>
  <si>
    <t>[1.949682499980554]</t>
  </si>
  <si>
    <t>[2.3070992999996633]</t>
  </si>
  <si>
    <t>[1.6075436000010086]</t>
  </si>
  <si>
    <t>[2.0379236999433488]</t>
  </si>
  <si>
    <t>[1.0720405000029132]</t>
  </si>
  <si>
    <t>[6.014984800014645]</t>
  </si>
  <si>
    <t>[1.4339170000002923]</t>
  </si>
  <si>
    <t>[1.4250673000005918]</t>
  </si>
  <si>
    <t>[1.6569776000687853]</t>
  </si>
  <si>
    <t>[1.4030501000816002]</t>
  </si>
  <si>
    <t>[1.3977876000571996]</t>
  </si>
  <si>
    <t>[1.2490316999997049]</t>
  </si>
  <si>
    <t>[1.3476867999997921]</t>
  </si>
  <si>
    <t>[1.3176246000221]</t>
  </si>
  <si>
    <t>[1.6694408999755979]</t>
  </si>
  <si>
    <t>[1.4299988000420853]</t>
  </si>
  <si>
    <t>[1.4400682999998935]</t>
  </si>
  <si>
    <t>[1.304927499999394]</t>
  </si>
  <si>
    <t>[1.4256413000402972]</t>
  </si>
  <si>
    <t>[1.2733227999415249]</t>
  </si>
  <si>
    <t>[1.2140895000193268]</t>
  </si>
  <si>
    <t>[1.5597745000000032]</t>
  </si>
  <si>
    <t>[1.456439900000987]</t>
  </si>
  <si>
    <t>[1.5485443000216037]</t>
  </si>
  <si>
    <t>[2.8768595000728965]</t>
  </si>
  <si>
    <t>[1.3330137999728322]</t>
  </si>
  <si>
    <t>[2.4428625000000466]</t>
  </si>
  <si>
    <t>[1.2851547000009305]</t>
  </si>
  <si>
    <t>[1.4217157000675797]</t>
  </si>
  <si>
    <t>[3.553529900033027]</t>
  </si>
  <si>
    <t>[1.46314240002539]</t>
  </si>
  <si>
    <t>[1.2822261999999682]</t>
  </si>
  <si>
    <t>[1.3825436999995873]</t>
  </si>
  <si>
    <t>[1.2777973000193015]</t>
  </si>
  <si>
    <t>[1.3011210999684408]</t>
  </si>
  <si>
    <t>[1.3803787999786437]</t>
  </si>
  <si>
    <t>[1.5577614999997422]</t>
  </si>
  <si>
    <t>[1.4643106000003172]</t>
  </si>
  <si>
    <t>[1.6235933999996632]</t>
  </si>
  <si>
    <t>[1.5494426999939606]</t>
  </si>
  <si>
    <t>[1.0504477999638766]</t>
  </si>
  <si>
    <t>[1.3332721000001584]</t>
  </si>
  <si>
    <t>[1.5606955999992351]</t>
  </si>
  <si>
    <t>[1.0487977999728173]</t>
  </si>
  <si>
    <t>[2.105349999968894]</t>
  </si>
  <si>
    <t>[3.85229629999958]</t>
  </si>
  <si>
    <t>[1.436707800000022]</t>
  </si>
  <si>
    <t>[1.9098451000008936]</t>
  </si>
  <si>
    <t>[1.3869798000669107]</t>
  </si>
  <si>
    <t>[1.1734385999152437]</t>
  </si>
  <si>
    <t>[0.9117729000281543]</t>
  </si>
  <si>
    <t>[1.4588073999998414]</t>
  </si>
  <si>
    <t>[1.278447500000766]</t>
  </si>
  <si>
    <t>[2.1066266000270844]</t>
  </si>
  <si>
    <t>[1.931809400091879]</t>
  </si>
  <si>
    <t>[2.2883866999763995]</t>
  </si>
  <si>
    <t>[1.646519900000385]</t>
  </si>
  <si>
    <t>[1.2707793999998103]</t>
  </si>
  <si>
    <t>[1.4210693000350147]</t>
  </si>
  <si>
    <t>[1.8809987999266014]</t>
  </si>
  <si>
    <t>[2.03628270002082]</t>
  </si>
  <si>
    <t>[2.035780799999884]</t>
  </si>
  <si>
    <t>[1.4341363000003184]</t>
  </si>
  <si>
    <t>[1.4674078000243753]</t>
  </si>
  <si>
    <t>[1.4510872999671847]</t>
  </si>
  <si>
    <t>[1.966899299994111]</t>
  </si>
  <si>
    <t>[1.2093211000001247]</t>
  </si>
  <si>
    <t>[1.3661171999992803]</t>
  </si>
  <si>
    <t>[1.5499652000144124]</t>
  </si>
  <si>
    <t>[1.5734737999737263]</t>
  </si>
  <si>
    <t>[1.5674322000704706]</t>
  </si>
  <si>
    <t>[1.3953909000001659]</t>
  </si>
  <si>
    <t>[1.7814178999997239]</t>
  </si>
  <si>
    <t>[1.4424778000684455]</t>
  </si>
  <si>
    <t>[2.5211643000366166]</t>
  </si>
  <si>
    <t>[1.7987147000385448]</t>
  </si>
  <si>
    <t>[1.1845420999998169]</t>
  </si>
  <si>
    <t>[1.495719200000167]</t>
  </si>
  <si>
    <t>[1.2483602000866085]</t>
  </si>
  <si>
    <t>[1.4065039000706747]</t>
  </si>
  <si>
    <t>[1.346840800018981]</t>
  </si>
  <si>
    <t>[1.2903670999999122]</t>
  </si>
  <si>
    <t>[1.8117065000005823]</t>
  </si>
  <si>
    <t>[1.5809885000344366]</t>
  </si>
  <si>
    <t>[1.1962976000504568]</t>
  </si>
  <si>
    <t>[1.2563650000374764]</t>
  </si>
  <si>
    <t>[1.6942011000001003]</t>
  </si>
  <si>
    <t>[2.8239840000005643]</t>
  </si>
  <si>
    <t>[1.6983850999968126]</t>
  </si>
  <si>
    <t>[1.001619499991648]</t>
  </si>
  <si>
    <t>[1.197305400040932]</t>
  </si>
  <si>
    <t>[1.9610686999999416]</t>
  </si>
  <si>
    <t>[2.089243299998998]</t>
  </si>
  <si>
    <t>[1.4054392999969423]</t>
  </si>
  <si>
    <t>[1.030509200063534]</t>
  </si>
  <si>
    <t>[1.1812487000133842]</t>
  </si>
  <si>
    <t>[1.7098925000000236]</t>
  </si>
  <si>
    <t>[2.743341800000053]</t>
  </si>
  <si>
    <t>[1.6014710000017658]</t>
  </si>
  <si>
    <t>[1.4195068000117317]</t>
  </si>
  <si>
    <t>[1.129356999997981]</t>
  </si>
  <si>
    <t>[1.6045798000000104]</t>
  </si>
  <si>
    <t>[2.4071797000015067]</t>
  </si>
  <si>
    <t>[1.336094299913384]</t>
  </si>
  <si>
    <t>[1.4180484999669716]</t>
  </si>
  <si>
    <t>[1.9860033999430016]</t>
  </si>
  <si>
    <t>[1.1019173999998202]</t>
  </si>
  <si>
    <t>[1.5583188000000519]</t>
  </si>
  <si>
    <t>[1.6009914999594912]</t>
  </si>
  <si>
    <t>[1.3703569000354037]</t>
  </si>
  <si>
    <t>[1.780328999971971]</t>
  </si>
  <si>
    <t>[1.1496601999997438]</t>
  </si>
  <si>
    <t>[1.8222707000004448]</t>
  </si>
  <si>
    <t>[1.2167454999871552]</t>
  </si>
  <si>
    <t>[1.7345917000202462]</t>
  </si>
  <si>
    <t>[1.261103400029242]</t>
  </si>
  <si>
    <t>[1.315107600000374]</t>
  </si>
  <si>
    <t>[1.3233330000002752]</t>
  </si>
  <si>
    <t>[1.0993636000202969]</t>
  </si>
  <si>
    <t>[1.42050929996185]</t>
  </si>
  <si>
    <t>[2.144811699981801]</t>
  </si>
  <si>
    <t>[1.174366000000191]</t>
  </si>
  <si>
    <t>[1.5928103999995074]</t>
  </si>
  <si>
    <t>[1.7864849000470713]</t>
  </si>
  <si>
    <t>[1.1615627000574023]</t>
  </si>
  <si>
    <t>[1.0973990999627858]</t>
  </si>
  <si>
    <t>[2.1352438999997503]</t>
  </si>
  <si>
    <t>[1.5867362000008143]</t>
  </si>
  <si>
    <t>[1.1170449000783265]</t>
  </si>
  <si>
    <t>[1.3184791000094265]</t>
  </si>
  <si>
    <t>[2.05089750001207]</t>
  </si>
  <si>
    <t>[1.186420100000305]</t>
  </si>
  <si>
    <t>[1.6095285000010335]</t>
  </si>
  <si>
    <t>[1.4342010000254959]</t>
  </si>
  <si>
    <t>[1.2343404000857845]</t>
  </si>
  <si>
    <t>[1.387190799927339]</t>
  </si>
  <si>
    <t>[1.283967500000017]</t>
  </si>
  <si>
    <t>[1.6548067000003357]</t>
  </si>
  <si>
    <t>[1.166794199962169]</t>
  </si>
  <si>
    <t>[1.1859925999306142]</t>
  </si>
  <si>
    <t>[1.3161789999576285]</t>
  </si>
  <si>
    <t>[1.1827443999995921]</t>
  </si>
  <si>
    <t>[1.6409440000006725]</t>
  </si>
  <si>
    <t>[1.4509619999444112]</t>
  </si>
  <si>
    <t>[1.0295092000160366]</t>
  </si>
  <si>
    <t>[1.4285772000439465]</t>
  </si>
  <si>
    <t>[1.9275137000004179]</t>
  </si>
  <si>
    <t>[1.6833120999999664]</t>
  </si>
  <si>
    <t>[1.4722633000928909]</t>
  </si>
  <si>
    <t>[1.1149979999754578]</t>
  </si>
  <si>
    <t>[1.6778368999948725]</t>
  </si>
  <si>
    <t>[1.4937205999999605]</t>
  </si>
  <si>
    <t>[4.514973500001361]</t>
  </si>
  <si>
    <t>[1.311760799959302]</t>
  </si>
  <si>
    <t>[1.0372874999884516]</t>
  </si>
  <si>
    <t>[1.0960111999884248]</t>
  </si>
  <si>
    <t>[2.160427599999821]</t>
  </si>
  <si>
    <t>[1.6399819999987812]</t>
  </si>
  <si>
    <t>[1.8503533999901265]</t>
  </si>
  <si>
    <t>[1.1982757999794558]</t>
  </si>
  <si>
    <t>[1.032956000068225]</t>
  </si>
  <si>
    <t>[1.5260197000002336]</t>
  </si>
  <si>
    <t>[1.0165278000004037]</t>
  </si>
  <si>
    <t>[1.3330219000345096]</t>
  </si>
  <si>
    <t>[1.6363682999508455]</t>
  </si>
  <si>
    <t>[2.980806899955496]</t>
  </si>
  <si>
    <t>[1.329316700000163]</t>
  </si>
  <si>
    <t>[1.9445419999992737]</t>
  </si>
  <si>
    <t>[1.1356883000116795]</t>
  </si>
  <si>
    <t>[1.1474568999838084]</t>
  </si>
  <si>
    <t>[1.468368100002408]</t>
  </si>
  <si>
    <t>[1.0163093000001027]</t>
  </si>
  <si>
    <t>[1.5952723000009428]</t>
  </si>
  <si>
    <t>[1.1152931000106037]</t>
  </si>
  <si>
    <t>[1.3713527999352664]</t>
  </si>
  <si>
    <t>[1.193514500046149]</t>
  </si>
  <si>
    <t>[1.361576199999945]</t>
  </si>
  <si>
    <t>[1.5406564999993861]</t>
  </si>
  <si>
    <t>[1.1307548000477254]</t>
  </si>
  <si>
    <t>[1.8395558999618515]</t>
  </si>
  <si>
    <t>[0.8581732000457123]</t>
  </si>
  <si>
    <t>[1.543799200000194]</t>
  </si>
  <si>
    <t>[1.6416886000006343]</t>
  </si>
  <si>
    <t>[2.6552975999657065]</t>
  </si>
  <si>
    <t>[1.5407055999385193]</t>
  </si>
  <si>
    <t>[1.685561400023289]</t>
  </si>
  <si>
    <t>[1.352889100000084]</t>
  </si>
  <si>
    <t>[1.3595544999989215]</t>
  </si>
  <si>
    <t>[1.3517486000200734]</t>
  </si>
  <si>
    <t>[1.3226552000269294]</t>
  </si>
  <si>
    <t>[1.4967186999274418]</t>
  </si>
  <si>
    <t>[1.719687199999953]</t>
  </si>
  <si>
    <t>[1.809758299999885]</t>
  </si>
  <si>
    <t>[1.214795000036247]</t>
  </si>
  <si>
    <t>[1.2048156999517232]</t>
  </si>
  <si>
    <t>[1.9829247000161558]</t>
  </si>
  <si>
    <t>[1.5950179000001299]</t>
  </si>
  <si>
    <t>[1.7349651000004087]</t>
  </si>
  <si>
    <t>[1.314511200063862]</t>
  </si>
  <si>
    <t>[1.533400799962692]</t>
  </si>
  <si>
    <t>[1.0190073000267148]</t>
  </si>
  <si>
    <t>[1.300730200000089]</t>
  </si>
  <si>
    <t>[1.3134406999997736]</t>
  </si>
  <si>
    <t>[1.3016361000481993]</t>
  </si>
  <si>
    <t>[1.236707300064154]</t>
  </si>
  <si>
    <t>[2.3891136000165716]</t>
  </si>
  <si>
    <t>[2.12891049999962]</t>
  </si>
  <si>
    <t>[1.2335892999999487]</t>
  </si>
  <si>
    <t>[1.4189287000335753]</t>
  </si>
  <si>
    <t>[0.8949843000154942]</t>
  </si>
  <si>
    <t>[1.6962812999263406]</t>
  </si>
  <si>
    <t>[2.0568192999999155]</t>
  </si>
  <si>
    <t>[1.269896300000255]</t>
  </si>
  <si>
    <t>[1.137449000030756]</t>
  </si>
  <si>
    <t>[2.1605297999922186]</t>
  </si>
  <si>
    <t>[0.9935447000002569]</t>
  </si>
  <si>
    <t>[1.2238094999993336]</t>
  </si>
  <si>
    <t>[2.1713337000692263]</t>
  </si>
  <si>
    <t>[1.256470499909483]</t>
  </si>
  <si>
    <t>[1.689125599921681]</t>
  </si>
  <si>
    <t>[1.2815607000002274]</t>
  </si>
  <si>
    <t>[1.4512935000002471]</t>
  </si>
  <si>
    <t>[2.0788859000895172]</t>
  </si>
  <si>
    <t>[1.6350851999595761]</t>
  </si>
  <si>
    <t>[1.784859100007452]</t>
  </si>
  <si>
    <t>[2.001261099999738]</t>
  </si>
  <si>
    <t>[1.5794865000007121]</t>
  </si>
  <si>
    <t>[1.0514858999522403]</t>
  </si>
  <si>
    <t>[1.0555108999833465]</t>
  </si>
  <si>
    <t>[1.6867851000279188]</t>
  </si>
  <si>
    <t>[5.035958700000265]</t>
  </si>
  <si>
    <t>[1.7407961000008072]</t>
  </si>
  <si>
    <t>[3.302989299991168]</t>
  </si>
  <si>
    <t>[1.3979209000244737]</t>
  </si>
  <si>
    <t>[1.2859195000492036]</t>
  </si>
  <si>
    <t>[2.3200807000002897]</t>
  </si>
  <si>
    <t>[1.6744365999984439]</t>
  </si>
  <si>
    <t>[1.421770100016147]</t>
  </si>
  <si>
    <t>[1.734592100023292]</t>
  </si>
  <si>
    <t>[1.2863911000313237]</t>
  </si>
  <si>
    <t>[2.519277299999885]</t>
  </si>
  <si>
    <t>[1.2406678999996075]</t>
  </si>
  <si>
    <t>[0.9668202999746427]</t>
  </si>
  <si>
    <t>[2.400683999992907]</t>
  </si>
  <si>
    <t>[1.1160241999896243]</t>
  </si>
  <si>
    <t>[1.4847721000001002]</t>
  </si>
  <si>
    <t>[2.050647800000661]</t>
  </si>
  <si>
    <t>[1.2534886000212282]</t>
  </si>
  <si>
    <t>[1.083253899938427]</t>
  </si>
  <si>
    <t>[1.3386124999960884]</t>
  </si>
  <si>
    <t>[1.3932666999999128]</t>
  </si>
  <si>
    <t>[2.2290207000005466]</t>
  </si>
  <si>
    <t>[1.0659889000235125]</t>
  </si>
  <si>
    <t>[1.2529693000251427]</t>
  </si>
  <si>
    <t>[1.9155859999591485]</t>
  </si>
  <si>
    <t>[1.3338615999996364]</t>
  </si>
  <si>
    <t>[1.8017744000007951]</t>
  </si>
  <si>
    <t>[1.2884376000147313]</t>
  </si>
  <si>
    <t>[1.1142461000708863]</t>
  </si>
  <si>
    <t>[1.3769053000000895]</t>
  </si>
  <si>
    <t>[1.4165789999988192]</t>
  </si>
  <si>
    <t>[1.7203995999880135]</t>
  </si>
  <si>
    <t>[1.0693512000143528]</t>
  </si>
  <si>
    <t>[1.6066621999489143]</t>
  </si>
  <si>
    <t>[1.7317665000000488]</t>
  </si>
  <si>
    <t>[1.427203200000804]</t>
  </si>
  <si>
    <t>[1.272486099973321]</t>
  </si>
  <si>
    <t>[1.0943812999175861]</t>
  </si>
  <si>
    <t>[1.1635053000645712]</t>
  </si>
  <si>
    <t>[1.2262515000002168]</t>
  </si>
  <si>
    <t>[1.8716402999998536]</t>
  </si>
  <si>
    <t>[1.1203729000408202]</t>
  </si>
  <si>
    <t>[2.4858993999660015]</t>
  </si>
  <si>
    <t>[1.3840837999014184]</t>
  </si>
  <si>
    <t>[1.5175839999997152]</t>
  </si>
  <si>
    <t>[1.6618442999988474]</t>
  </si>
  <si>
    <t>[1.7518438000697643]</t>
  </si>
  <si>
    <t>[1.1849962000269443]</t>
  </si>
  <si>
    <t>[1.3234839000506327]</t>
  </si>
  <si>
    <t>[1.2190267999999378]</t>
  </si>
  <si>
    <t>[2.0796267000005173]</t>
  </si>
  <si>
    <t>[1.6036752000218257]</t>
  </si>
  <si>
    <t>[1.2192999999970198]</t>
  </si>
  <si>
    <t>[2.0275822000112385]</t>
  </si>
  <si>
    <t>[1.467877000000044]</t>
  </si>
  <si>
    <t>[1.760212600000159]</t>
  </si>
  <si>
    <t>[1.4043030999600887]</t>
  </si>
  <si>
    <t>[1.166856599971652]</t>
  </si>
  <si>
    <t>[1.2010638000210747]</t>
  </si>
  <si>
    <t>[2.1463087000001906]</t>
  </si>
  <si>
    <t>[1.271357399999033]</t>
  </si>
  <si>
    <t>[1.6041085000615567]</t>
  </si>
  <si>
    <t>[1.0168762999819592]</t>
  </si>
  <si>
    <t>[1.1638326999964193]</t>
  </si>
  <si>
    <t>[1.5810100999997303]</t>
  </si>
  <si>
    <t>[1.5077175999995234]</t>
  </si>
  <si>
    <t>[1.4185231000883505]</t>
  </si>
  <si>
    <t>[1.73594109993428]</t>
  </si>
  <si>
    <t>[1.2354007000103593]</t>
  </si>
  <si>
    <t>[1.4715099999998529]</t>
  </si>
  <si>
    <t>[1.4960904999988998]</t>
  </si>
  <si>
    <t>[1.3152242999058217]</t>
  </si>
  <si>
    <t>[3.0019187999423593]</t>
  </si>
  <si>
    <t>[1.122122299973853]</t>
  </si>
  <si>
    <t>[2.1443019000003005]</t>
  </si>
  <si>
    <t>[1.689280199998393]</t>
  </si>
  <si>
    <t>[1.2509815000230446]</t>
  </si>
  <si>
    <t>[1.5395961999893188]</t>
  </si>
  <si>
    <t>[1.2015270000556484]</t>
  </si>
  <si>
    <t>[1.0865335999997114]</t>
  </si>
  <si>
    <t>[1.7344327000009798]</t>
  </si>
  <si>
    <t>[1.3682747998973355]</t>
  </si>
  <si>
    <t>[1.5985910999588668]</t>
  </si>
  <si>
    <t>[1.671448600012809]</t>
  </si>
  <si>
    <t>[1.3336017999999967]</t>
  </si>
  <si>
    <t>[1.2759507999999187]</t>
  </si>
  <si>
    <t>[1.3008073000237346]</t>
  </si>
  <si>
    <t>[1.1697681999066845]</t>
  </si>
  <si>
    <t>[2.6012504999525845]</t>
  </si>
  <si>
    <t>[1.4369274999999107]</t>
  </si>
  <si>
    <t>[1.449155600001177]</t>
  </si>
  <si>
    <t>[1.485329999937676]</t>
  </si>
  <si>
    <t>[1.849077899940312]</t>
  </si>
  <si>
    <t>[3.236699100001715]</t>
  </si>
  <si>
    <t>[1.5037537999996857]</t>
  </si>
  <si>
    <t>[1.5482990000000427]</t>
  </si>
  <si>
    <t>[1.2835612000199035]</t>
  </si>
  <si>
    <t>[1.7668135000858456]</t>
  </si>
  <si>
    <t>[1.0700714000267908]</t>
  </si>
  <si>
    <t>[1.9274287999996886]</t>
  </si>
  <si>
    <t>[1.5573674999996001]</t>
  </si>
  <si>
    <t>[1.8650897999759763]</t>
  </si>
  <si>
    <t>[1.8480239000637084]</t>
  </si>
  <si>
    <t>[1.1619792999699712]</t>
  </si>
  <si>
    <t>[1.7265074000001732]</t>
  </si>
  <si>
    <t>[1.152041300001656]</t>
  </si>
  <si>
    <t>[5.599391299998388]</t>
  </si>
  <si>
    <t>[1.887959499959834]</t>
  </si>
  <si>
    <t>[1.0343343999702483]</t>
  </si>
  <si>
    <t>[1.4498607999998967]</t>
  </si>
  <si>
    <t>[2.134975299999496]</t>
  </si>
  <si>
    <t>[1.9042139999801293]</t>
  </si>
  <si>
    <t>[1.6868177000433207]</t>
  </si>
  <si>
    <t>[1.4622669000000315]</t>
  </si>
  <si>
    <t>[1.9779039999993984]</t>
  </si>
  <si>
    <t>[1.6642344000283629]</t>
  </si>
  <si>
    <t>[2.2589238999644294]</t>
  </si>
  <si>
    <t>[1.1837637999997241]</t>
  </si>
  <si>
    <t>[1.36233109999921]</t>
  </si>
  <si>
    <t>[1.5251199000049382]</t>
  </si>
  <si>
    <t>[1.535033700056374]</t>
  </si>
  <si>
    <t>[1.6824481000658125]</t>
  </si>
  <si>
    <t>[1.2036321000000498]</t>
  </si>
  <si>
    <t>[1.3028193000009196]</t>
  </si>
  <si>
    <t>[1.2313022000016645]</t>
  </si>
  <si>
    <t>[1.7366299000568688]</t>
  </si>
  <si>
    <t>[1.4017802000744268]</t>
  </si>
  <si>
    <t>[1.2608557000003202]</t>
  </si>
  <si>
    <t>[1.558377900000778]</t>
  </si>
  <si>
    <t>[1.8854102999903262]</t>
  </si>
  <si>
    <t>[1.2725944999838248]</t>
  </si>
  <si>
    <t>[1.337221199995838]</t>
  </si>
  <si>
    <t>[2.9118273000003683]</t>
  </si>
  <si>
    <t>[1.3223170000001119]</t>
  </si>
  <si>
    <t>[1.8426734999520704]</t>
  </si>
  <si>
    <t>[1.3056962999980897]</t>
  </si>
  <si>
    <t>[0.8648176999995485]</t>
  </si>
  <si>
    <t>[1.6656308999999965]</t>
  </si>
  <si>
    <t>[1.608339899999919]</t>
  </si>
  <si>
    <t>[1.5499039000133052]</t>
  </si>
  <si>
    <t>[1.3833356000250205]</t>
  </si>
  <si>
    <t>[1.3292767000384629]</t>
  </si>
  <si>
    <t>[1.2514184999999998]</t>
  </si>
  <si>
    <t>[1.8267143000011856]</t>
  </si>
  <si>
    <t>[1.1379732000641525]</t>
  </si>
  <si>
    <t>[1.5403235000558197]</t>
  </si>
  <si>
    <t>[1.0511134000262246]</t>
  </si>
  <si>
    <t>[1.6866573000002063]</t>
  </si>
  <si>
    <t>[1.6948664999999892]</t>
  </si>
  <si>
    <t>[1.1824721999000758]</t>
  </si>
  <si>
    <t>[1.2927673000376672]</t>
  </si>
  <si>
    <t>[1.3177091999677941]</t>
  </si>
  <si>
    <t>[1.2668580999998085]</t>
  </si>
  <si>
    <t>[1.5679063999996288]</t>
  </si>
  <si>
    <t>[1.751785899978131]</t>
  </si>
  <si>
    <t>[1.6580263000214472]</t>
  </si>
  <si>
    <t>[2.512539600022137]</t>
  </si>
  <si>
    <t>[1.3858807999999954]</t>
  </si>
  <si>
    <t>[1.610858100000769]</t>
  </si>
  <si>
    <t>[1.2341449999948964]</t>
  </si>
  <si>
    <t>[1.3861719000851735]</t>
  </si>
  <si>
    <t>[1.1122399000450969]</t>
  </si>
  <si>
    <t>[1.5618669999998929]</t>
  </si>
  <si>
    <t>[1.8989974999985861]</t>
  </si>
  <si>
    <t>[1.428862400003709]</t>
  </si>
  <si>
    <t>[1.3460282000014558]</t>
  </si>
  <si>
    <t>[1.5290614999830723]</t>
  </si>
  <si>
    <t>[1.6381482000001597]</t>
  </si>
  <si>
    <t>[1.4248977999995986]</t>
  </si>
  <si>
    <t>[2.121161499992013]</t>
  </si>
  <si>
    <t>[1.2229821999790147]</t>
  </si>
  <si>
    <t>[2.0399663998978212]</t>
  </si>
  <si>
    <t>[1.308597700000064]</t>
  </si>
  <si>
    <t>[1.8908172999999806]</t>
  </si>
  <si>
    <t>[2.171228199964389]</t>
  </si>
  <si>
    <t>[1.4520824999781325]</t>
  </si>
  <si>
    <t>[1.14843230007682]</t>
  </si>
  <si>
    <t>[1.6299199000000044]</t>
  </si>
  <si>
    <t>[1.678343200001109]</t>
  </si>
  <si>
    <t>[1.6985766000580043]</t>
  </si>
  <si>
    <t>[1.5156165000516921]</t>
  </si>
  <si>
    <t>[1.400515199988149]</t>
  </si>
  <si>
    <t>[2.444645000000037]</t>
  </si>
  <si>
    <t>[1.3985124000009819]</t>
  </si>
  <si>
    <t>[2.238465700065717]</t>
  </si>
  <si>
    <t>[1.81338790000882]</t>
  </si>
  <si>
    <t>[3.774424400064163]</t>
  </si>
  <si>
    <t>[1.434885000000122]</t>
  </si>
  <si>
    <t>[1.4642728999988321]</t>
  </si>
  <si>
    <t>[1.2858408000320196]</t>
  </si>
  <si>
    <t>[1.8855438999598846]</t>
  </si>
  <si>
    <t>[1.692450000000008]</t>
  </si>
  <si>
    <t>[1.3752793000003294]</t>
  </si>
  <si>
    <t>[1.5333384000696242]</t>
  </si>
  <si>
    <t>[1.917352300020866]</t>
  </si>
  <si>
    <t>[1.632227300084196]</t>
  </si>
  <si>
    <t>[1.407387099999596]</t>
  </si>
  <si>
    <t>[1.528266799999983]</t>
  </si>
  <si>
    <t>[2.7357896000612527]</t>
  </si>
  <si>
    <t>[1.7551645999774337]</t>
  </si>
  <si>
    <t>[1.1837009999435395]</t>
  </si>
  <si>
    <t>[1.1529130999997506]</t>
  </si>
  <si>
    <t>[1.5540899999996327]</t>
  </si>
  <si>
    <t>[2.2839184999465942]</t>
  </si>
  <si>
    <t>[1.3538118000142276]</t>
  </si>
  <si>
    <t>[2.982559400028549]</t>
  </si>
  <si>
    <t>[2.043732199999795]</t>
  </si>
  <si>
    <t>[1.3840565999998944]</t>
  </si>
  <si>
    <t>[1.9525900000007823]</t>
  </si>
  <si>
    <t>[1.3575507999630645]</t>
  </si>
  <si>
    <t>[0.9665345000103116]</t>
  </si>
  <si>
    <t>[1.9683735999997225]</t>
  </si>
  <si>
    <t>[1.689782400000695]</t>
  </si>
  <si>
    <t>[1.4923877000110224]</t>
  </si>
  <si>
    <t>[1.3995893999235705]</t>
  </si>
  <si>
    <t>[1.8025466999970376]</t>
  </si>
  <si>
    <t>[1.1954664999998386]</t>
  </si>
  <si>
    <t>[2.0168627000002743]</t>
  </si>
  <si>
    <t>[1.5621124999597669]</t>
  </si>
  <si>
    <t>[1.8868718000594527]</t>
  </si>
  <si>
    <t>[1.2174832000164315]</t>
  </si>
  <si>
    <t>[1.8448318999999174]</t>
  </si>
  <si>
    <t>[2.126530900000944]</t>
  </si>
  <si>
    <t>[1.5023328999523073]</t>
  </si>
  <si>
    <t>[1.4160628999816254]</t>
  </si>
  <si>
    <t>[1.0826210000086576]</t>
  </si>
  <si>
    <t>[1.5680716000001667]</t>
  </si>
  <si>
    <t>[1.2854478000008385]</t>
  </si>
  <si>
    <t>[1.2537208999274299]</t>
  </si>
  <si>
    <t>[1.4508048000279814]</t>
  </si>
  <si>
    <t>[1.000189899932593]</t>
  </si>
  <si>
    <t>[1.2368543000002319]</t>
  </si>
  <si>
    <t>[1.4873434999990423]</t>
  </si>
  <si>
    <t>[1.3129627000307664]</t>
  </si>
  <si>
    <t>[1.3020562999881804]</t>
  </si>
  <si>
    <t>[1.0698572000255808]</t>
  </si>
  <si>
    <t>[1.743760399999701]</t>
  </si>
  <si>
    <t>[1.9264115999994829]</t>
  </si>
  <si>
    <t>[1.7739821000723168]</t>
  </si>
  <si>
    <t>[1.730914399959147]</t>
  </si>
  <si>
    <t>[1.6819337999913841]</t>
  </si>
  <si>
    <t>[2.693097399999715]</t>
  </si>
  <si>
    <t>[1.1572572999994009]</t>
  </si>
  <si>
    <t>[1.4496655999682844]</t>
  </si>
  <si>
    <t>[1.3888688998995349]</t>
  </si>
  <si>
    <t>[1.748557100072503]</t>
  </si>
  <si>
    <t>[1.1779222999998638]</t>
  </si>
  <si>
    <t>[1.605804499999067]</t>
  </si>
  <si>
    <t>[1.3659968000138178]</t>
  </si>
  <si>
    <t>[2.4156559000257403]</t>
  </si>
  <si>
    <t>[1.2011102000251412]</t>
  </si>
  <si>
    <t>[2.2361275000002934]</t>
  </si>
  <si>
    <t>[2.761682700000165]</t>
  </si>
  <si>
    <t>[2.286880400031805]</t>
  </si>
  <si>
    <t>[1.7809000000124797]</t>
  </si>
  <si>
    <t>[1.8487428999505937]</t>
  </si>
  <si>
    <t>[1.1171346000000995]</t>
  </si>
  <si>
    <t>[2.412710500000685]</t>
  </si>
  <si>
    <t>[1.9073312999680638]</t>
  </si>
  <si>
    <t>[1.5860617000143975]</t>
  </si>
  <si>
    <t>[1.3179290000116453]</t>
  </si>
  <si>
    <t>[2.0296455000002425]</t>
  </si>
  <si>
    <t>[1.3552458000012848]</t>
  </si>
  <si>
    <t>[2.0196027000201866]</t>
  </si>
  <si>
    <t>[2.034996400005184]</t>
  </si>
  <si>
    <t>[1.0372961999382824]</t>
  </si>
  <si>
    <t>[2.1403949000000466]</t>
  </si>
  <si>
    <t>[1.4896831000005477]</t>
  </si>
  <si>
    <t>[1.107426599948667]</t>
  </si>
  <si>
    <t>[1.1969017999945208]</t>
  </si>
  <si>
    <t>[1.3529267000267282]</t>
  </si>
  <si>
    <t>[2.6499533999999585]</t>
  </si>
  <si>
    <t>[1.2188585000003513]</t>
  </si>
  <si>
    <t>[1.6360676999902353]</t>
  </si>
  <si>
    <t>[1.742747399955988]</t>
  </si>
  <si>
    <t>[1.5871448999969289]</t>
  </si>
  <si>
    <t>[1.3140578000002279]</t>
  </si>
  <si>
    <t>[1.6251800999998522]</t>
  </si>
  <si>
    <t>[1.1186927000526339]</t>
  </si>
  <si>
    <t>[1.5648510000901297]</t>
  </si>
  <si>
    <t>[2.154331999947317]</t>
  </si>
  <si>
    <t>[1.9279928000000837]</t>
  </si>
  <si>
    <t>[1.4809791000006953]</t>
  </si>
  <si>
    <t>[2.2121407999657094]</t>
  </si>
  <si>
    <t>[1.7856670999899507]</t>
  </si>
  <si>
    <t>[2.0278456999221817]</t>
  </si>
  <si>
    <t>[1.381195899999966]</t>
  </si>
  <si>
    <t>[1.3773519999995187]</t>
  </si>
  <si>
    <t>[2.255507900030352]</t>
  </si>
  <si>
    <t>[1.2483269000658765]</t>
  </si>
  <si>
    <t>[1.5554871000349522]</t>
  </si>
  <si>
    <t>[1.4902768000001743]</t>
  </si>
  <si>
    <t>[1.3246788999986165]</t>
  </si>
  <si>
    <t>[3.704589599976316]</t>
  </si>
  <si>
    <t>[2.050175999989733]</t>
  </si>
  <si>
    <t>[2.046955099911429]</t>
  </si>
  <si>
    <t>[1.314147999999932]</t>
  </si>
  <si>
    <t>[1.7559233000010863]</t>
  </si>
  <si>
    <t>[2.0182022000662982]</t>
  </si>
  <si>
    <t>[1.4194255999755114]</t>
  </si>
  <si>
    <t>[1.4892625000793487]</t>
  </si>
  <si>
    <t>[1.7030523000003086]</t>
  </si>
  <si>
    <t>[1.2728962000001047]</t>
  </si>
  <si>
    <t>[1.8371184000279754]</t>
  </si>
  <si>
    <t>[1.1502814000705257]</t>
  </si>
  <si>
    <t>[1.6205954999895766]</t>
  </si>
  <si>
    <t>[1.2220564000003833]</t>
  </si>
  <si>
    <t>[1.9534262999986822]</t>
  </si>
  <si>
    <t>[1.1979966999497265]</t>
  </si>
  <si>
    <t>[1.2654901000205427]</t>
  </si>
  <si>
    <t>[0.9197937999852002]</t>
  </si>
  <si>
    <t>[1.4252791000003526]</t>
  </si>
  <si>
    <t>[1.7811237000005349]</t>
  </si>
  <si>
    <t>[1.6371146000456065]</t>
  </si>
  <si>
    <t>[1.5014742000494152]</t>
  </si>
  <si>
    <t>[0.766425900044851]</t>
  </si>
  <si>
    <t>[2.132068700000218]</t>
  </si>
  <si>
    <t>[1.4678020999999717]</t>
  </si>
  <si>
    <t>[1.0677530999528244]</t>
  </si>
  <si>
    <t>[1.6342391999205574]</t>
  </si>
  <si>
    <t>[1.3964115000562742]</t>
  </si>
  <si>
    <t>[1.2528962999999749]</t>
  </si>
  <si>
    <t>[1.2056761999992887]</t>
  </si>
  <si>
    <t>[1.0823882999829948]</t>
  </si>
  <si>
    <t>[1.3178353999974206]</t>
  </si>
  <si>
    <t>[1.2655932999914512]</t>
  </si>
  <si>
    <t>[2.452346000000034]</t>
  </si>
  <si>
    <t>[1.405832600001304]</t>
  </si>
  <si>
    <t>[1.3361146999523044]</t>
  </si>
  <si>
    <t>[1.9667406999506056]</t>
  </si>
  <si>
    <t>[1.620082800000091]</t>
  </si>
  <si>
    <t>[2.254959100000633]</t>
  </si>
  <si>
    <t>[1.2196548000210896]</t>
  </si>
  <si>
    <t>[1.6676041999598965]</t>
  </si>
  <si>
    <t>[1.065333200036548]</t>
  </si>
  <si>
    <t>[1.2137922000001709]</t>
  </si>
  <si>
    <t>[1.354047000000719]</t>
  </si>
  <si>
    <t>[1.249240499921143]</t>
  </si>
  <si>
    <t>[1.5073537999996915]</t>
  </si>
  <si>
    <t>[1.5353562999516726]</t>
  </si>
  <si>
    <t>[1.364198899999792]</t>
  </si>
  <si>
    <t>[1.6149789999999484]</t>
  </si>
  <si>
    <t>[1.2087507999967784]</t>
  </si>
  <si>
    <t>[1.478963500005193]</t>
  </si>
  <si>
    <t>[1.3523364000720903]</t>
  </si>
  <si>
    <t>[1.9012604999998075]</t>
  </si>
  <si>
    <t>[2.2203850999994756]</t>
  </si>
  <si>
    <t>[1.2521243999945]</t>
  </si>
  <si>
    <t>[1.7523175000678748]</t>
  </si>
  <si>
    <t>[1.615880599943921]</t>
  </si>
  <si>
    <t>[1.252878399999645]</t>
  </si>
  <si>
    <t>[1.8402017000007618]</t>
  </si>
  <si>
    <t>[1.2335914999712259]</t>
  </si>
  <si>
    <t>[2.216515500098467]</t>
  </si>
  <si>
    <t>[1.603701899992302]</t>
  </si>
  <si>
    <t>[1.7180026999999427]</t>
  </si>
  <si>
    <t>[1.6067736000004516]</t>
  </si>
  <si>
    <t>[1.187510299962014]</t>
  </si>
  <si>
    <t>[1.301228699972853]</t>
  </si>
  <si>
    <t>[1.9979606999550015]</t>
  </si>
  <si>
    <t>[1.8731769999999415]</t>
  </si>
  <si>
    <t>[1.3487627000013163]</t>
  </si>
  <si>
    <t>[1.597277499968186]</t>
  </si>
  <si>
    <t>[1.317034599953331]</t>
  </si>
  <si>
    <t>[1.405887200000052]</t>
  </si>
  <si>
    <t>[1.5192360000000917]</t>
  </si>
  <si>
    <t>[1.787562599987723]</t>
  </si>
  <si>
    <t>[2.387432500021532]</t>
  </si>
  <si>
    <t>[2.4867984000593424]</t>
  </si>
  <si>
    <t>[1.461577600000055]</t>
  </si>
  <si>
    <t>[1.6240887000003568]</t>
  </si>
  <si>
    <t>[1.3142859999788925]</t>
  </si>
  <si>
    <t>[1.6385338000254706]</t>
  </si>
  <si>
    <t>[2.1191937000257894]</t>
  </si>
  <si>
    <t>[1.364211300000079]</t>
  </si>
  <si>
    <t>[1.5849687000008998]</t>
  </si>
  <si>
    <t>[1.1498726999852806]</t>
  </si>
  <si>
    <t>[1.2889932999387383]</t>
  </si>
  <si>
    <t>[1.6008985999505967]</t>
  </si>
  <si>
    <t>[1.7916468000003078]</t>
  </si>
  <si>
    <t>[1.9924670000000333]</t>
  </si>
  <si>
    <t>[1.6483705999562517]</t>
  </si>
  <si>
    <t>[1.8661799998953938]</t>
  </si>
  <si>
    <t>[2.5672546999994665]</t>
  </si>
  <si>
    <t>[1.3028522999998131]</t>
  </si>
  <si>
    <t>[2.037704099999246]</t>
  </si>
  <si>
    <t>[2.441017899895087]</t>
  </si>
  <si>
    <t>[1.436215199995786]</t>
  </si>
  <si>
    <t>[2.532486899988726]</t>
  </si>
  <si>
    <t>[1.5414992000000893]</t>
  </si>
  <si>
    <t>[2.624866699999984]</t>
  </si>
  <si>
    <t>[1.4035705999704078]</t>
  </si>
  <si>
    <t>[1.3317192000104114]</t>
  </si>
  <si>
    <t>[3.0269520999863744]</t>
  </si>
  <si>
    <t>[1.2882549000000836]</t>
  </si>
  <si>
    <t>[1.0137821000007534]</t>
  </si>
  <si>
    <t>[1.5482622000854462]</t>
  </si>
  <si>
    <t>[1.48518930003047]</t>
  </si>
  <si>
    <t>[1.149144700029865]</t>
  </si>
  <si>
    <t>[1.6473350999999639]</t>
  </si>
  <si>
    <t>[1.799544199999218]</t>
  </si>
  <si>
    <t>[1.5002069000620395]</t>
  </si>
  <si>
    <t>[1.1057440999429673]</t>
  </si>
  <si>
    <t>[1.3195184000069275]</t>
  </si>
  <si>
    <t>[2.0814047000003484]</t>
  </si>
  <si>
    <t>[1.4768129000003682]</t>
  </si>
  <si>
    <t>[1.5373649999964982]</t>
  </si>
  <si>
    <t>[1.5722900999244303]</t>
  </si>
  <si>
    <t>[1.4001011999789625]</t>
  </si>
  <si>
    <t>[1.4885863999998037]</t>
  </si>
  <si>
    <t>[1.8753176999998686]</t>
  </si>
  <si>
    <t>[1.547452999977395]</t>
  </si>
  <si>
    <t>[1.9164215000346303]</t>
  </si>
  <si>
    <t>[1.0483141000149772]</t>
  </si>
  <si>
    <t>[1.6139661999995951]</t>
  </si>
  <si>
    <t>[1.962422399999923]</t>
  </si>
  <si>
    <t>[1.7023026999086142]</t>
  </si>
  <si>
    <t>[2.3079118999885395]</t>
  </si>
  <si>
    <t>[1.5673885999999584]</t>
  </si>
  <si>
    <t>[1.4279645000005985]</t>
  </si>
  <si>
    <t>[1.4664645999437198]</t>
  </si>
  <si>
    <t>[1.5245139999315143]</t>
  </si>
  <si>
    <t>[1.2837854999816045]</t>
  </si>
  <si>
    <t>[1.504932099999678]</t>
  </si>
  <si>
    <t>[1.3136302000002615]</t>
  </si>
  <si>
    <t>[1.3989098999882117]</t>
  </si>
  <si>
    <t>[1.8537713999394327]</t>
  </si>
  <si>
    <t>[1.0402386999921873]</t>
  </si>
  <si>
    <t>[2.034031000000141]</t>
  </si>
  <si>
    <t>[1.5186806000001525]</t>
  </si>
  <si>
    <t>[1.6702452000463381]</t>
  </si>
  <si>
    <t>[1.9208489001030102]</t>
  </si>
  <si>
    <t>[0.7675189999863505]</t>
  </si>
  <si>
    <t>[1.2153407999999217]</t>
  </si>
  <si>
    <t>[1.2892977999999857]</t>
  </si>
  <si>
    <t>[3.8198140000458807]</t>
  </si>
  <si>
    <t>[1.398645899957046]</t>
  </si>
  <si>
    <t>[1.500502800103277]</t>
  </si>
  <si>
    <t>[1.5961496999998417]</t>
  </si>
  <si>
    <t>[1.7361179999988963]</t>
  </si>
  <si>
    <t>[1.2499983999878168]</t>
  </si>
  <si>
    <t>[1.1530615000519902]</t>
  </si>
  <si>
    <t>[1.2076718000462279]</t>
  </si>
  <si>
    <t>[1.6517076000000088]</t>
  </si>
  <si>
    <t>[1.1053766999993968]</t>
  </si>
  <si>
    <t>[1.513954099966213]</t>
  </si>
  <si>
    <t>[2.018721100059338]</t>
  </si>
  <si>
    <t>[1.4213555999999699]</t>
  </si>
  <si>
    <t>[1.7146424999991723]</t>
  </si>
  <si>
    <t>[1.3036069000372663]</t>
  </si>
  <si>
    <t>[2.0333334000315517]</t>
  </si>
  <si>
    <t>[2.3419269000000895]</t>
  </si>
  <si>
    <t>[1.4608024999997724]</t>
  </si>
  <si>
    <t>[1.2995395000325516]</t>
  </si>
  <si>
    <t>[1.3310721999732777]</t>
  </si>
  <si>
    <t>[1.798141699982807]</t>
  </si>
  <si>
    <t>[1.4065005000002202]</t>
  </si>
  <si>
    <t>[1.6655990999988717]</t>
  </si>
  <si>
    <t>[1.7349083001026884]</t>
  </si>
  <si>
    <t>[3.5230042000766844]</t>
  </si>
  <si>
    <t>[1.2814370000269264]</t>
  </si>
  <si>
    <t>[1.3914435000001504]</t>
  </si>
  <si>
    <t>[1.7559808000005432]</t>
  </si>
  <si>
    <t>[2.4199418000644073]</t>
  </si>
  <si>
    <t>[1.3363362000091001]</t>
  </si>
  <si>
    <t>[1.5534732999512926]</t>
  </si>
  <si>
    <t>[3.0051595999998426]</t>
  </si>
  <si>
    <t>[1.8055773999985831]</t>
  </si>
  <si>
    <t>[1.8341939999954775]</t>
  </si>
  <si>
    <t>[1.930343099986203]</t>
  </si>
  <si>
    <t>[1.085043799947016]</t>
  </si>
  <si>
    <t>[2.032494999999926]</t>
  </si>
  <si>
    <t>[3.6244380999996793]</t>
  </si>
  <si>
    <t>[2.1700736000202596]</t>
  </si>
  <si>
    <t>[1.6367065999656916]</t>
  </si>
  <si>
    <t>[1.9850403999444097]</t>
  </si>
  <si>
    <t>[1.8425468000000365]</t>
  </si>
  <si>
    <t>[1.3194320000002335]</t>
  </si>
  <si>
    <t>[1.8797178999520838]</t>
  </si>
  <si>
    <t>[1.3692393000237644]</t>
  </si>
  <si>
    <t>[1.373174300068058]</t>
  </si>
  <si>
    <t>[1.5588124999999309]</t>
  </si>
  <si>
    <t>[1.9783574000011868]</t>
  </si>
  <si>
    <t>[1.8819834999740124]</t>
  </si>
  <si>
    <t>[2.2172197999898344]</t>
  </si>
  <si>
    <t>[1.4824763999786228]</t>
  </si>
  <si>
    <t>[1.3443597999998929]</t>
  </si>
  <si>
    <t>[1.4430620000002818]</t>
  </si>
  <si>
    <t>[2.4558719000779092]</t>
  </si>
  <si>
    <t>[1.469269199995324]</t>
  </si>
  <si>
    <t>[1.2376356000313535]</t>
  </si>
  <si>
    <t>[1.3554347000003872]</t>
  </si>
  <si>
    <t>[1.550737300000037]</t>
  </si>
  <si>
    <t>[1.6690330000128597]</t>
  </si>
  <si>
    <t>[1.2353289999300614]</t>
  </si>
  <si>
    <t>[1.1469762000488117]</t>
  </si>
  <si>
    <t>[1.5773862000000918]</t>
  </si>
  <si>
    <t>[1.4849723999996058]</t>
  </si>
  <si>
    <t>[3.9696532000089064]</t>
  </si>
  <si>
    <t>[1.9490062999539077]</t>
  </si>
  <si>
    <t>[0.9367910000728443]</t>
  </si>
  <si>
    <t>[1.5050570999997035]</t>
  </si>
  <si>
    <t>[1.2950422000012622]</t>
  </si>
  <si>
    <t>[2.4712926999200135]</t>
  </si>
  <si>
    <t>[2.2151713999919593]</t>
  </si>
  <si>
    <t>[1.4375030000228435]</t>
  </si>
  <si>
    <t>[2.1921093999999357]</t>
  </si>
  <si>
    <t>[1.0637779000007868]</t>
  </si>
  <si>
    <t>[1.1655862999614328]</t>
  </si>
  <si>
    <t>[1.9343824000097811]</t>
  </si>
  <si>
    <t>[1.6150253999512643]</t>
  </si>
  <si>
    <t>[1.692848099999992]</t>
  </si>
  <si>
    <t>[1.2913265999995929]</t>
  </si>
  <si>
    <t>[1.431829100009054]</t>
  </si>
  <si>
    <t>[1.5375203000148758]</t>
  </si>
  <si>
    <t>[1.2650220999494195]</t>
  </si>
  <si>
    <t>[1.7738451000000168]</t>
  </si>
  <si>
    <t>[1.030568799998946]</t>
  </si>
  <si>
    <t>[1.2283845000201836]</t>
  </si>
  <si>
    <t>[1.515019099926576]</t>
  </si>
  <si>
    <t>[1.5160397000145167]</t>
  </si>
  <si>
    <t>[1.5475086999999803]</t>
  </si>
  <si>
    <t>[2.3158886000001075]</t>
  </si>
  <si>
    <t>[1.168020399985835]</t>
  </si>
  <si>
    <t>[1.8721671000821516]</t>
  </si>
  <si>
    <t>[1.9505443000234663]</t>
  </si>
  <si>
    <t>[1.6320105999998304]</t>
  </si>
  <si>
    <t>[1.7398549000008643]</t>
  </si>
  <si>
    <t>[1.365333899972029]</t>
  </si>
  <si>
    <t>[1.2684794999659061]</t>
  </si>
  <si>
    <t>[1.2992533999495208]</t>
  </si>
  <si>
    <t>[1.0966874999999163]</t>
  </si>
  <si>
    <t>[1.7701626999987639]</t>
  </si>
  <si>
    <t>[1.42035140004009]</t>
  </si>
  <si>
    <t>[1.6907079999800771]</t>
  </si>
  <si>
    <t>[1.3973923999583349]</t>
  </si>
  <si>
    <t>[1.540345299999899]</t>
  </si>
  <si>
    <t>[2.025464700000157]</t>
  </si>
  <si>
    <t>[1.3654837000649422]</t>
  </si>
  <si>
    <t>[1.284537800005637]</t>
  </si>
  <si>
    <t>[1.3491293999995833]</t>
  </si>
  <si>
    <t>[1.8199397000007593]</t>
  </si>
  <si>
    <t>[1.6682972999988124]</t>
  </si>
  <si>
    <t>[1.633465199964121]</t>
  </si>
  <si>
    <t>[1.549072900000283]</t>
  </si>
  <si>
    <t>[1.8306334000008064]</t>
  </si>
  <si>
    <t>[1.2324132000794634]</t>
  </si>
  <si>
    <t>[1.2521391999907792]</t>
  </si>
  <si>
    <t>[1.487281300000177]</t>
  </si>
  <si>
    <t>[1.7922873000006803]</t>
  </si>
  <si>
    <t>[2.466930599999614]</t>
  </si>
  <si>
    <t>[2.1143404999747872]</t>
  </si>
  <si>
    <t>[1.23386609996669]</t>
  </si>
  <si>
    <t>[1.1469984999998815]</t>
  </si>
  <si>
    <t>[2.5774600000004284]</t>
  </si>
  <si>
    <t>[1.386440399917774]</t>
  </si>
  <si>
    <t>[4.852200300083496]</t>
  </si>
  <si>
    <t>[1.183966000000055]</t>
  </si>
  <si>
    <t>[1.632371100000455]</t>
  </si>
  <si>
    <t>[1.9001932999817654]</t>
  </si>
  <si>
    <t>[1.2854918000521138]</t>
  </si>
  <si>
    <t>[1.226545100000294]</t>
  </si>
  <si>
    <t>[1.6511021999995137]</t>
  </si>
  <si>
    <t>[1.3663124999729916]</t>
  </si>
  <si>
    <t>[1.6682028999784961]</t>
  </si>
  <si>
    <t>[1.0599276000866666]</t>
  </si>
  <si>
    <t>[1.2747051999999712]</t>
  </si>
  <si>
    <t>[1.5261712999999872]</t>
  </si>
  <si>
    <t>[1.4156855999026448]</t>
  </si>
  <si>
    <t>[1.3983024000190198]</t>
  </si>
  <si>
    <t>[1.0585500999586657]</t>
  </si>
  <si>
    <t>[1.3198511999999027]</t>
  </si>
  <si>
    <t>[1.4461871999992582]</t>
  </si>
  <si>
    <t>[1.5494583999970928]</t>
  </si>
  <si>
    <t>[1.584283099975437]</t>
  </si>
  <si>
    <t>[1.0532858999213204]</t>
  </si>
  <si>
    <t>[1.2237092000000303]</t>
  </si>
  <si>
    <t>[1.7567763999995805]</t>
  </si>
  <si>
    <t>[2.05452719994355]</t>
  </si>
  <si>
    <t>[1.7023543999530375]</t>
  </si>
  <si>
    <t>[1.2806131999241188]</t>
  </si>
  <si>
    <t>[1.9289115999999922]</t>
  </si>
  <si>
    <t>[1.404274800001076]</t>
  </si>
  <si>
    <t>[1.7016187999397516]</t>
  </si>
  <si>
    <t>[1.269315900048241]</t>
  </si>
  <si>
    <t>[2.796784400008619]</t>
  </si>
  <si>
    <t>[1.8894281000002593]</t>
  </si>
  <si>
    <t>[1.575027200000477]</t>
  </si>
  <si>
    <t>[1.5356929999543354]</t>
  </si>
  <si>
    <t>[1.1685767999151722]</t>
  </si>
  <si>
    <t>[1.3068204999435693]</t>
  </si>
  <si>
    <t>[1.3979011999999784]</t>
  </si>
  <si>
    <t>[1.6726211000004696]</t>
  </si>
  <si>
    <t>[1.4625875999918208]</t>
  </si>
  <si>
    <t>[1.3175811999244615]</t>
  </si>
  <si>
    <t>[1.0456648000981659]</t>
  </si>
  <si>
    <t>[2.0394356000001608]</t>
  </si>
  <si>
    <t>[1.8237515999990137]</t>
  </si>
  <si>
    <t>[1.434061300009489]</t>
  </si>
  <si>
    <t>[3.2015782999806106]</t>
  </si>
  <si>
    <t>[1.482101900037378]</t>
  </si>
  <si>
    <t>[1.2847931000001154]</t>
  </si>
  <si>
    <t>[1.1219684999996389]</t>
  </si>
  <si>
    <t xml:space="preserve">Mean= </t>
  </si>
  <si>
    <t>Participant</t>
  </si>
  <si>
    <t>Trial</t>
  </si>
  <si>
    <t>Distractor</t>
  </si>
  <si>
    <t>RT</t>
  </si>
  <si>
    <t>P1</t>
  </si>
  <si>
    <t>P3</t>
  </si>
  <si>
    <t>P4</t>
  </si>
  <si>
    <t>AVERAGE of RT</t>
  </si>
  <si>
    <t>P2</t>
  </si>
  <si>
    <t>P5</t>
  </si>
  <si>
    <t>Grand Total</t>
  </si>
  <si>
    <t>Set size 5</t>
  </si>
  <si>
    <t xml:space="preserve">Set size 10 </t>
  </si>
  <si>
    <t>Distractors</t>
  </si>
  <si>
    <t>Mean RT</t>
  </si>
  <si>
    <t>slope 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</si>
</sst>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Fill="1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RT vs. Distractors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'!$G$13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'!$F$14:$F$15</c:f>
            </c:strRef>
          </c:cat>
          <c:val>
            <c:numRef>
              <c:f>'Pivot Table '!$G$14:$G$15</c:f>
              <c:numCache/>
            </c:numRef>
          </c:val>
        </c:ser>
        <c:axId val="1694285721"/>
        <c:axId val="710884610"/>
      </c:barChart>
      <c:catAx>
        <c:axId val="1694285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Distractors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884610"/>
      </c:catAx>
      <c:valAx>
        <c:axId val="710884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285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slope Comparison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'!$A$21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'!$B$20:$G$20</c:f>
            </c:strRef>
          </c:cat>
          <c:val>
            <c:numRef>
              <c:f>'Pivot Table '!$B$21:$G$21</c:f>
              <c:numCache/>
            </c:numRef>
          </c:val>
          <c:smooth val="0"/>
        </c:ser>
        <c:axId val="429212812"/>
        <c:axId val="1699916036"/>
      </c:lineChart>
      <c:catAx>
        <c:axId val="429212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916036"/>
      </c:catAx>
      <c:valAx>
        <c:axId val="1699916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slope Comparison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212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9</xdr:row>
      <xdr:rowOff>9525</xdr:rowOff>
    </xdr:from>
    <xdr:ext cx="3962400" cy="2457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1190625</xdr:colOff>
      <xdr:row>22</xdr:row>
      <xdr:rowOff>190500</xdr:rowOff>
    </xdr:from>
    <xdr:ext cx="4057650" cy="2505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983" sheet="Sheet2"/>
  </cacheSource>
  <cacheFields>
    <cacheField name="Participant" numFmtId="0">
      <sharedItems>
        <s v="P1"/>
        <s v="P2"/>
        <s v="P3"/>
        <s v="P4"/>
        <s v="P5"/>
      </sharedItems>
    </cacheField>
    <cacheField name="Trial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3.0"/>
        <n v="14.0"/>
        <n v="15.0"/>
        <n v="16.0"/>
        <n v="18.0"/>
        <n v="19.0"/>
        <n v="20.0"/>
        <n v="21.0"/>
        <n v="22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4.0"/>
        <n v="145.0"/>
        <n v="146.0"/>
        <n v="147.0"/>
        <n v="148.0"/>
        <n v="149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12.0"/>
        <n v="17.0"/>
        <n v="23.0"/>
        <n v="99.0"/>
        <n v="143.0"/>
        <n v="150.0"/>
        <n v="186.0"/>
      </sharedItems>
    </cacheField>
    <cacheField name="mouse.time" numFmtId="0">
      <sharedItems>
        <s v="[1.6360458000563085]"/>
        <s v="[1.3812814999837428]"/>
        <s v="[1.2824711999855936]"/>
        <s v="[1.4058180999709293]"/>
        <s v="[1.1526332000503317]"/>
        <s v="[1.2165766999823973]"/>
        <s v="[1.4324399000033736]"/>
        <s v="[1.3235194999724627]"/>
        <s v="[1.3995187999680638]"/>
        <s v="[1.499701299937442]"/>
        <s v="[1.1690482998965308]"/>
        <s v="[1.1038406000006944]"/>
        <s v="[1.166150699951686]"/>
        <s v="[1.082105299923569]"/>
        <s v="[1.5698699000058696]"/>
        <s v="[3.450730000040494]"/>
        <s v="[1.2507439000764862]"/>
        <s v="[2.988260200014338]"/>
        <s v="[1.4825809000758454]"/>
        <s v="[1.2335974000161514]"/>
        <s v="[1.186085099936463]"/>
        <s v="[1.2191051000263542]"/>
        <s v="[1.3231234000995755]"/>
        <s v="[1.3489815999055281]"/>
        <s v="[2.0895844999467954]"/>
        <s v="[1.4857679998967797]"/>
        <s v="[1.0310031999833882]"/>
        <s v="[1.8249829000560567]"/>
        <s v="[2.0379236999433488]"/>
        <s v="[1.6569776000687853]"/>
        <s v="[1.3176246000221]"/>
        <s v="[1.4256413000402972]"/>
        <s v="[1.5485443000216037]"/>
        <s v="[1.4217157000675797]"/>
        <s v="[1.2777973000193015]"/>
        <s v="[1.6235933999996632]"/>
        <s v="[1.0487977999728173]"/>
        <s v="[1.3869798000669107]"/>
        <s v="[2.1066266000270844]"/>
        <s v="[1.4210693000350147]"/>
        <s v="[1.4674078000243753]"/>
        <s v="[1.5499652000144124]"/>
        <s v="[1.4424778000684455]"/>
        <s v="[1.2483602000866085]"/>
        <s v="[1.5809885000344366]"/>
        <s v="[1.6983850999968126]"/>
        <s v="[1.4054392999969423]"/>
        <s v="[1.6014710000017658]"/>
        <s v="[1.336094299913384]"/>
        <s v="[1.6009914999594912]"/>
        <s v="[1.2167454999871552]"/>
        <s v="[1.0993636000202969]"/>
        <s v="[1.7864849000470713]"/>
        <s v="[1.1170449000783265]"/>
        <s v="[1.4342010000254959]"/>
        <s v="[1.166794199962169]"/>
        <s v="[1.4509619999444112]"/>
        <s v="[1.4722633000928909]"/>
        <s v="[1.311760799959302]"/>
        <s v="[1.8503533999901265]"/>
        <s v="[1.3330219000345096]"/>
        <s v="[1.1356883000116795]"/>
        <s v="[1.1152931000106037]"/>
        <s v="[1.1307548000477254]"/>
        <s v="[2.6552975999657065]"/>
        <s v="[1.3517486000200734]"/>
        <s v="[1.214795000036247]"/>
        <s v="[1.314511200063862]"/>
        <s v="[1.3016361000481993]"/>
        <s v="[1.4189287000335753]"/>
        <s v="[1.137449000030756]"/>
        <s v="[2.1713337000692263]"/>
        <s v="[2.0788859000895172]"/>
        <s v="[1.0514858999522403]"/>
        <s v="[3.302989299991168]"/>
        <s v="[1.421770100016147]"/>
        <s v="[0.9668202999746427]"/>
        <s v="[1.2534886000212282]"/>
        <s v="[1.0659889000235125]"/>
        <s v="[1.2884376000147313]"/>
        <s v="[1.7203995999880135]"/>
        <s v="[1.272486099973321]"/>
        <s v="[1.1203729000408202]"/>
        <s v="[1.7518438000697643]"/>
        <s v="[1.6036752000218257]"/>
        <s v="[1.4043030999600887]"/>
        <s v="[1.6041085000615567]"/>
        <s v="[1.4185231000883505]"/>
        <s v="[1.3152242999058217]"/>
        <s v="[1.2509815000230446]"/>
        <s v="[1.3682747998973355]"/>
        <s v="[1.3008073000237346]"/>
        <s v="[1.485329999937676]"/>
        <s v="[1.2835612000199035]"/>
        <s v="[1.8650897999759763]"/>
        <s v="[5.599391299998388]"/>
        <s v="[1.6642344000283629]"/>
        <s v="[1.5251199000049382]"/>
        <s v="[1.2313022000016645]"/>
        <s v="[1.8854102999903262]"/>
        <s v="[1.8426734999520704]"/>
        <s v="[1.5499039000133052]"/>
        <s v="[1.1379732000641525]"/>
        <s v="[1.1824721999000758]"/>
        <s v="[1.751785899978131]"/>
        <s v="[1.2341449999948964]"/>
        <s v="[1.428862400003709]"/>
        <s v="[2.121161499992013]"/>
        <s v="[2.171228199964389]"/>
        <s v="[1.6985766000580043]"/>
        <s v="[2.238465700065717]"/>
        <s v="[1.2858408000320196]"/>
        <s v="[1.5333384000696242]"/>
        <s v="[2.7357896000612527]"/>
        <s v="[2.2839184999465942]"/>
        <s v="[1.9525900000007823]"/>
        <s v="[1.4923877000110224]"/>
        <s v="[1.5621124999597669]"/>
        <s v="[1.5023328999523073]"/>
        <s v="[1.2537208999274299]"/>
        <s v="[1.3129627000307664]"/>
        <s v="[1.7739821000723168]"/>
        <s v="[1.4496655999682844]"/>
        <s v="[1.3659968000138178]"/>
        <s v="[2.286880400031805]"/>
        <s v="[1.9073312999680638]"/>
        <s v="[2.0196027000201866]"/>
        <s v="[1.107426599948667]"/>
        <s v="[1.6360676999902353]"/>
        <s v="[1.1186927000526339]"/>
        <s v="[2.2121407999657094]"/>
        <s v="[2.255507900030352]"/>
        <s v="[3.704589599976316]"/>
        <s v="[2.0182022000662982]"/>
        <s v="[1.8371184000279754]"/>
        <s v="[1.1979966999497265]"/>
        <s v="[1.6371146000456065]"/>
        <s v="[1.0677530999528244]"/>
        <s v="[1.0823882999829948]"/>
        <s v="[1.2196548000210896]"/>
        <s v="[1.249240499921143]"/>
        <s v="[1.2087507999967784]"/>
        <s v="[1.2521243999945]"/>
        <s v="[1.2335914999712259]"/>
        <s v="[1.187510299962014]"/>
        <s v="[1.787562599987723]"/>
        <s v="[1.3142859999788925]"/>
        <s v="[1.1498726999852806]"/>
        <s v="[1.6483705999562517]"/>
        <s v="[2.441017899895087]"/>
        <s v="[1.4035705999704078]"/>
        <s v="[1.5482622000854462]"/>
        <s v="[1.5002069000620395]"/>
        <s v="[1.5373649999964982]"/>
        <s v="[1.547452999977395]"/>
        <s v="[1.7023026999086142]"/>
        <s v="[1.4664645999437198]"/>
        <s v="[1.3989098999882117]"/>
        <s v="[1.6702452000463381]"/>
        <s v="[3.8198140000458807]"/>
        <s v="[1.2499983999878168]"/>
        <s v="[1.513954099966213]"/>
        <s v="[1.3036069000372663]"/>
        <s v="[1.2995395000325516]"/>
        <s v="[1.7349083001026884]"/>
        <s v="[2.4199418000644073]"/>
        <s v="[1.8341939999954775]"/>
        <s v="[2.1700736000202596]"/>
        <s v="[1.8797178999520838]"/>
        <s v="[1.8819834999740124]"/>
        <s v="[2.4558719000779092]"/>
        <s v="[1.6690330000128597]"/>
        <s v="[3.9696532000089064]"/>
        <s v="[2.4712926999200135]"/>
        <s v="[1.1655862999614328]"/>
        <s v="[1.431829100009054]"/>
        <s v="[1.2283845000201836]"/>
        <s v="[1.168020399985835]"/>
        <s v="[1.365333899972029]"/>
        <s v="[1.42035140004009]"/>
        <s v="[1.6682972999988124]"/>
        <s v="[1.2324132000794634]"/>
        <s v="[2.466930599999614]"/>
        <s v="[1.386440399917774]"/>
        <s v="[1.9001932999817654]"/>
        <s v="[1.3663124999729916]"/>
        <s v="[1.4156855999026448]"/>
        <s v="[1.5494583999970928]"/>
        <s v="[2.05452719994355]"/>
        <s v="[1.7016187999397516]"/>
        <s v="[1.5356929999543354]"/>
        <s v="[1.4625875999918208]"/>
        <s v="[1.434061300009489]"/>
        <s v="[1.4026078000897542]"/>
        <s v="[1.651423699920997]"/>
        <s v="[1.4458158001070842]"/>
        <s v="[2.435042400029488]"/>
        <s v="[1.4482911999803036]"/>
        <s v="[1.147078900015913]"/>
        <s v="[1.202203799970448]"/>
        <s v="[1.9333456000313163]"/>
        <s v="[1.5847038999199867]"/>
        <s v="[1.41800070006866]"/>
        <s v="[2.4361826999811456]"/>
        <s v="[2.0378136000363156]"/>
        <s v="[2.255069600068964]"/>
        <s v="[3.529348599957302]"/>
        <s v="[1.2886223000241444]"/>
        <s v="[1.6196173999924213]"/>
        <s v="[1.3652691000606865]"/>
        <s v="[1.4324913999298587]"/>
        <s v="[1.8311285999370739]"/>
        <s v="[1.1188500000862405]"/>
        <s v="[1.6663766000419855]"/>
        <s v="[2.5151171000907198]"/>
        <s v="[1.551373399910517]"/>
        <s v="[1.7754215999739245]"/>
        <s v="[2.368324200040661]"/>
        <s v="[3.0189700999762863]"/>
        <s v="[1.3844495000084862]"/>
        <s v="[1.870508800027892]"/>
        <s v="[1.7149268999928609]"/>
        <s v="[1.5194317999994382]"/>
        <s v="[1.3350246000336483]"/>
        <s v="[1.0720405000029132]"/>
        <s v="[1.4030501000816002]"/>
        <s v="[1.6694408999755979]"/>
        <s v="[1.2733227999415249]"/>
        <s v="[2.8768595000728965]"/>
        <s v="[3.553529900033027]"/>
        <s v="[1.3011210999684408]"/>
        <s v="[1.5494426999939606]"/>
        <s v="[2.105349999968894]"/>
        <s v="[1.1734385999152437]"/>
        <s v="[1.931809400091879]"/>
        <s v="[1.8809987999266014]"/>
        <s v="[1.4510872999671847]"/>
        <s v="[1.5734737999737263]"/>
        <s v="[2.5211643000366166]"/>
        <s v="[1.4065039000706747]"/>
        <s v="[1.1962976000504568]"/>
        <s v="[1.001619499991648]"/>
        <s v="[1.030509200063534]"/>
        <s v="[1.4195068000117317]"/>
        <s v="[1.4180484999669716]"/>
        <s v="[1.3703569000354037]"/>
        <s v="[1.7345917000202462]"/>
        <s v="[1.42050929996185]"/>
        <s v="[1.1615627000574023]"/>
        <s v="[1.3184791000094265]"/>
        <s v="[1.2343404000857845]"/>
        <s v="[1.1859925999306142]"/>
        <s v="[1.0295092000160366]"/>
        <s v="[1.1149979999754578]"/>
        <s v="[1.0372874999884516]"/>
        <s v="[1.1982757999794558]"/>
        <s v="[1.6363682999508455]"/>
        <s v="[1.1474568999838084]"/>
        <s v="[1.3713527999352664]"/>
        <s v="[1.8395558999618515]"/>
        <s v="[1.5407055999385193]"/>
        <s v="[1.3226552000269294]"/>
        <s v="[1.2048156999517232]"/>
        <s v="[1.533400799962692]"/>
        <s v="[1.236707300064154]"/>
        <s v="[0.8949843000154942]"/>
        <s v="[2.1605297999922186]"/>
        <s v="[1.256470499909483]"/>
        <s v="[1.6350851999595761]"/>
        <s v="[1.0555108999833465]"/>
        <s v="[1.3979209000244737]"/>
        <s v="[1.734592100023292]"/>
        <s v="[2.400683999992907]"/>
        <s v="[1.083253899938427]"/>
        <s v="[1.2529693000251427]"/>
        <s v="[1.1142461000708863]"/>
        <s v="[1.0693512000143528]"/>
        <s v="[1.0943812999175861]"/>
        <s v="[2.4858993999660015]"/>
        <s v="[1.1849962000269443]"/>
        <s v="[1.2192999999970198]"/>
        <s v="[1.166856599971652]"/>
        <s v="[1.0168762999819592]"/>
        <s v="[1.73594109993428]"/>
        <s v="[3.0019187999423593]"/>
        <s v="[1.5395961999893188]"/>
        <s v="[1.5985910999588668]"/>
        <s v="[1.1697681999066845]"/>
        <s v="[1.849077899940312]"/>
        <s v="[1.7668135000858456]"/>
        <s v="[1.8480239000637084]"/>
        <s v="[1.887959499959834]"/>
        <s v="[1.9042139999801293]"/>
        <s v="[2.2589238999644294]"/>
        <s v="[1.535033700056374]"/>
        <s v="[1.7366299000568688]"/>
        <s v="[1.2725944999838248]"/>
        <s v="[1.3056962999980897]"/>
        <s v="[1.3833356000250205]"/>
        <s v="[1.5403235000558197]"/>
        <s v="[1.2927673000376672]"/>
        <s v="[1.6580263000214472]"/>
        <s v="[1.3861719000851735]"/>
        <s v="[1.3460282000014558]"/>
        <s v="[1.2229821999790147]"/>
        <s v="[1.4520824999781325]"/>
        <s v="[1.5156165000516921]"/>
        <s v="[1.81338790000882]"/>
        <s v="[1.8855438999598846]"/>
        <s v="[1.917352300020866]"/>
        <s v="[1.7551645999774337]"/>
        <s v="[1.3538118000142276]"/>
        <s v="[1.3575507999630645]"/>
        <s v="[1.3995893999235705]"/>
        <s v="[1.8868718000594527]"/>
        <s v="[1.4160628999816254]"/>
        <s v="[1.4508048000279814]"/>
        <s v="[1.3020562999881804]"/>
        <s v="[1.730914399959147]"/>
        <s v="[1.3888688998995349]"/>
        <s v="[2.4156559000257403]"/>
        <s v="[1.7809000000124797]"/>
        <s v="[1.5860617000143975]"/>
        <s v="[2.034996400005184]"/>
        <s v="[1.1969017999945208]"/>
        <s v="[1.742747399955988]"/>
        <s v="[1.5648510000901297]"/>
        <s v="[1.7856670999899507]"/>
        <s v="[1.2483269000658765]"/>
        <s v="[2.050175999989733]"/>
        <s v="[1.4194255999755114]"/>
        <s v="[1.1502814000705257]"/>
        <s v="[1.2654901000205427]"/>
        <s v="[1.5014742000494152]"/>
        <s v="[1.6342391999205574]"/>
        <s v="[1.3178353999974206]"/>
        <s v="[1.3361146999523044]"/>
        <s v="[1.6676041999598965]"/>
        <s v="[1.5073537999996915]"/>
        <s v="[1.478963500005193]"/>
        <s v="[1.7523175000678748]"/>
        <s v="[2.216515500098467]"/>
        <s v="[1.301228699972853]"/>
        <s v="[1.597277499968186]"/>
        <s v="[2.387432500021532]"/>
        <s v="[1.6385338000254706]"/>
        <s v="[1.2889932999387383]"/>
        <s v="[1.8661799998953938]"/>
        <s v="[1.436215199995786]"/>
        <s v="[1.3317192000104114]"/>
        <s v="[1.48518930003047]"/>
        <s v="[1.1057440999429673]"/>
        <s v="[1.5722900999244303]"/>
        <s v="[1.9164215000346303]"/>
        <s v="[2.3079118999885395]"/>
        <s v="[1.5245139999315143]"/>
        <s v="[1.8537713999394327]"/>
        <s v="[1.9208489001030102]"/>
        <s v="[1.398645899957046]"/>
        <s v="[1.1530615000519902]"/>
        <s v="[2.018721100059338]"/>
        <s v="[2.0333334000315517]"/>
        <s v="[1.3310721999732777]"/>
        <s v="[3.5230042000766844]"/>
        <s v="[1.3363362000091001]"/>
        <s v="[1.930343099986203]"/>
        <s v="[1.6367065999656916]"/>
        <s v="[1.3692393000237644]"/>
        <s v="[2.2172197999898344]"/>
        <s v="[1.469269199995324]"/>
        <s v="[1.2353289999300614]"/>
        <s v="[1.9490062999539077]"/>
        <s v="[2.2151713999919593]"/>
        <s v="[1.9343824000097811]"/>
        <s v="[1.5375203000148758]"/>
        <s v="[1.515019099926576]"/>
        <s v="[1.8721671000821516]"/>
        <s v="[1.2684794999659061]"/>
        <s v="[1.6907079999800771]"/>
        <s v="[1.3654837000649422]"/>
        <s v="[1.633465199964121]"/>
        <s v="[1.2521391999907792]"/>
        <s v="[2.1143404999747872]"/>
        <s v="[4.852200300083496]"/>
        <s v="[1.2854918000521138]"/>
        <s v="[1.6682028999784961]"/>
        <s v="[1.3983024000190198]"/>
        <s v="[1.584283099975437]"/>
        <s v="[1.7023543999530375]"/>
        <s v="[1.269315900048241]"/>
        <s v="[1.1685767999151722]"/>
        <s v="[1.3175811999244615]"/>
        <s v="[3.2015782999806106]"/>
        <s v="[5.514537699986249]"/>
        <s v="[1.7577572000445798]"/>
        <s v="[2.4036398000316694]"/>
        <s v="[1.3511375000234693]"/>
        <s v="[1.6532532999990508]"/>
        <s v="[2.163925200002268]"/>
        <s v="[1.247594099957496]"/>
        <s v="[1.185213299933821]"/>
        <s v="[1.134872499969788]"/>
        <s v="[1.3175812000408769]"/>
        <s v="[1.6525425999425352]"/>
        <s v="[1.7626781000290066]"/>
        <s v="[1.2141157001024112]"/>
        <s v="[2.4036465999670327]"/>
        <s v="[3.2046348999720067]"/>
        <s v="[1.1827435999875888]"/>
        <s v="[1.001276700058952]"/>
        <s v="[1.4176226999843493]"/>
        <s v="[0.9626127999508753]"/>
        <s v="[2.8546144999563694]"/>
        <s v="[1.149648700025864]"/>
        <s v="[1.5972431000554934]"/>
        <s v="[1.2199111999943852]"/>
        <s v="[0.9814702000003308]"/>
        <s v="[1.728516999981366]"/>
        <s v="[2.7844355000415817]"/>
        <s v="[2.5332555000204593]"/>
        <s v="[1.3393747999798506]"/>
        <s v="[3.7389676000457257]"/>
        <s v="[1.366751299938187]"/>
        <s v="[1.949682499980554]"/>
        <s v="[6.014984800014645]"/>
        <s v="[1.3977876000571996]"/>
        <s v="[1.4299988000420853]"/>
        <s v="[1.2140895000193268]"/>
        <s v="[1.3330137999728322]"/>
        <s v="[1.46314240002539]"/>
        <s v="[1.3803787999786437]"/>
        <s v="[1.0504477999638766]"/>
        <s v="[3.85229629999958]"/>
        <s v="[0.9117729000281543]"/>
        <s v="[2.2883866999763995]"/>
        <s v="[2.03628270002082]"/>
        <s v="[1.966899299994111]"/>
        <s v="[1.5674322000704706]"/>
        <s v="[1.7987147000385448]"/>
        <s v="[1.346840800018981]"/>
        <s v="[1.2563650000374764]"/>
        <s v="[1.197305400040932]"/>
        <s v="[1.1812487000133842]"/>
        <s v="[1.129356999997981]"/>
        <s v="[1.9860033999430016]"/>
        <s v="[1.780328999971971]"/>
        <s v="[1.261103400029242]"/>
        <s v="[2.144811699981801]"/>
        <s v="[1.0973990999627858]"/>
        <s v="[2.05089750001207]"/>
        <s v="[1.387190799927339]"/>
        <s v="[1.3161789999576285]"/>
        <s v="[1.4285772000439465]"/>
        <s v="[1.6778368999948725]"/>
        <s v="[1.0960111999884248]"/>
        <s v="[1.032956000068225]"/>
        <s v="[2.980806899955496]"/>
        <s v="[1.468368100002408]"/>
        <s v="[1.193514500046149]"/>
        <s v="[0.8581732000457123]"/>
        <s v="[1.685561400023289]"/>
        <s v="[1.4967186999274418]"/>
        <s v="[1.9829247000161558]"/>
        <s v="[1.0190073000267148]"/>
        <s v="[2.3891136000165716]"/>
        <s v="[1.6962812999263406]"/>
        <s v="[1.689125599921681]"/>
        <s v="[1.784859100007452]"/>
        <s v="[1.6867851000279188]"/>
        <s v="[1.2859195000492036]"/>
        <s v="[1.2863911000313237]"/>
        <s v="[1.1160241999896243]"/>
        <s v="[1.3386124999960884]"/>
        <s v="[1.9155859999591485]"/>
        <s v="[1.6066621999489143]"/>
        <s v="[1.1635053000645712]"/>
        <s v="[1.3840837999014184]"/>
        <s v="[1.3234839000506327]"/>
        <s v="[2.0275822000112385]"/>
        <s v="[1.2010638000210747]"/>
        <s v="[1.1638326999964193]"/>
        <s v="[1.2354007000103593]"/>
        <s v="[1.122122299973853]"/>
        <s v="[1.2015270000556484]"/>
        <s v="[1.671448600012809]"/>
        <s v="[2.6012504999525845]"/>
        <s v="[3.236699100001715]"/>
        <s v="[1.0700714000267908]"/>
        <s v="[1.1619792999699712]"/>
        <s v="[1.0343343999702483]"/>
        <s v="[1.6868177000433207]"/>
        <s v="[1.6824481000658125]"/>
        <s v="[1.4017802000744268]"/>
        <s v="[1.337221199995838]"/>
        <s v="[0.8648176999995485]"/>
        <s v="[1.3292767000384629]"/>
        <s v="[1.0511134000262246]"/>
        <s v="[1.3177091999677941]"/>
        <s v="[2.512539600022137]"/>
        <s v="[1.1122399000450969]"/>
        <s v="[1.5290614999830723]"/>
        <s v="[2.0399663998978212]"/>
        <s v="[1.14843230007682]"/>
        <s v="[1.400515199988149]"/>
        <s v="[3.774424400064163]"/>
        <s v="[1.632227300084196]"/>
        <s v="[1.1837009999435395]"/>
        <s v="[2.982559400028549]"/>
        <s v="[0.9665345000103116]"/>
        <s v="[1.8025466999970376]"/>
        <s v="[1.2174832000164315]"/>
        <s v="[1.0826210000086576]"/>
        <s v="[1.000189899932593]"/>
        <s v="[1.0698572000255808]"/>
        <s v="[1.6819337999913841]"/>
        <s v="[1.748557100072503]"/>
        <s v="[1.2011102000251412]"/>
        <s v="[1.8487428999505937]"/>
        <s v="[1.3179290000116453]"/>
        <s v="[1.0372961999382824]"/>
        <s v="[1.3529267000267282]"/>
        <s v="[1.5871448999969289]"/>
        <s v="[2.154331999947317]"/>
        <s v="[2.0278456999221817]"/>
        <s v="[1.5554871000349522]"/>
        <s v="[2.046955099911429]"/>
        <s v="[1.4892625000793487]"/>
        <s v="[1.6205954999895766]"/>
        <s v="[0.9197937999852002]"/>
        <s v="[0.766425900044851]"/>
        <s v="[1.3964115000562742]"/>
        <s v="[1.2655932999914512]"/>
        <s v="[1.9667406999506056]"/>
        <s v="[1.065333200036548]"/>
        <s v="[1.5353562999516726]"/>
        <s v="[1.3523364000720903]"/>
        <s v="[1.615880599943921]"/>
        <s v="[1.603701899992302]"/>
        <s v="[1.9979606999550015]"/>
        <s v="[1.317034599953331]"/>
        <s v="[2.4867984000593424]"/>
        <s v="[2.1191937000257894]"/>
        <s v="[1.6008985999505967]"/>
        <s v="[2.5672546999994665]"/>
        <s v="[2.532486899988726]"/>
        <s v="[3.0269520999863744]"/>
        <s v="[1.149144700029865]"/>
        <s v="[1.3195184000069275]"/>
        <s v="[1.4001011999789625]"/>
        <s v="[1.0483141000149772]"/>
        <s v="[1.2837854999816045]"/>
        <s v="[1.0402386999921873]"/>
        <s v="[0.7675189999863505]"/>
        <s v="[1.500502800103277]"/>
        <s v="[1.2076718000462279]"/>
        <s v="[1.798141699982807]"/>
        <s v="[1.2814370000269264]"/>
        <s v="[1.5534732999512926]"/>
        <s v="[1.085043799947016]"/>
        <s v="[1.9850403999444097]"/>
        <s v="[1.373174300068058]"/>
        <s v="[1.4824763999786228]"/>
        <s v="[1.2376356000313535]"/>
        <s v="[1.1469762000488117]"/>
        <s v="[0.9367910000728443]"/>
        <s v="[1.4375030000228435]"/>
        <s v="[1.6150253999512643]"/>
        <s v="[1.2650220999494195]"/>
        <s v="[1.5160397000145167]"/>
        <s v="[1.9505443000234663]"/>
        <s v="[1.2992533999495208]"/>
        <s v="[1.3973923999583349]"/>
        <s v="[1.284537800005637]"/>
        <s v="[1.23386609996669]"/>
        <s v="[1.0599276000866666]"/>
        <s v="[1.0585500999586657]"/>
        <s v="[1.0532858999213204]"/>
        <s v="[1.2806131999241188]"/>
        <s v="[2.796784400008619]"/>
        <s v="[1.3068204999435693]"/>
        <s v="[1.0456648000981659]"/>
        <s v="[1.482101900037378]"/>
        <s v="[1.167593300000135]"/>
        <s v="[1.6581035999997766]"/>
        <s v="[1.3623592000003555]"/>
        <s v="[1.2113867999996728]"/>
        <s v="[1.7085446000000957]"/>
        <s v="[1.7491405000000668]"/>
        <s v="[1.3191130000000157]"/>
        <s v="[1.252780900000289]"/>
        <s v="[1.5821847999995953]"/>
        <s v="[1.2605905000000348]"/>
        <s v="[2.0659937000000355]"/>
        <s v="[1.184313999999631]"/>
        <s v="[1.4445193999999901]"/>
        <s v="[1.535848900000019]"/>
        <s v="[1.2845112999998491]"/>
        <s v="[2.223346499999934]"/>
        <s v="[1.4642110000004323]"/>
        <s v="[1.1683765000002495]"/>
        <s v="[1.7407837999999174]"/>
        <s v="[1.4208020999999462]"/>
        <s v="[1.3895834999998442]"/>
        <s v="[1.3992238999999245]"/>
        <s v="[1.5434672999999748]"/>
        <s v="[1.4943905000000086]"/>
        <s v="[1.5896700000002966]"/>
        <s v="[1.0658238999999412]"/>
        <s v="[1.5894029000000955]"/>
        <s v="[1.6089944000000287]"/>
        <s v="[1.5555045999999493]"/>
        <s v="[1.5416949999998906]"/>
        <s v="[2.3070992999996633]"/>
        <s v="[1.4339170000002923]"/>
        <s v="[1.2490316999997049]"/>
        <s v="[1.4400682999998935]"/>
        <s v="[1.5597745000000032]"/>
        <s v="[2.4428625000000466]"/>
        <s v="[1.2822261999999682]"/>
        <s v="[1.5577614999997422]"/>
        <s v="[1.3332721000001584]"/>
        <s v="[1.436707800000022]"/>
        <s v="[1.4588073999998414]"/>
        <s v="[1.646519900000385]"/>
        <s v="[2.035780799999884]"/>
        <s v="[1.2093211000001247]"/>
        <s v="[1.3953909000001659]"/>
        <s v="[1.1845420999998169]"/>
        <s v="[1.2903670999999122]"/>
        <s v="[1.6942011000001003]"/>
        <s v="[1.9610686999999416]"/>
        <s v="[1.7098925000000236]"/>
        <s v="[1.6045798000000104]"/>
        <s v="[1.1019173999998202]"/>
        <s v="[1.1496601999997438]"/>
        <s v="[1.315107600000374]"/>
        <s v="[1.174366000000191]"/>
        <s v="[2.1352438999997503]"/>
        <s v="[1.186420100000305]"/>
        <s v="[1.283967500000017]"/>
        <s v="[1.1827443999995921]"/>
        <s v="[1.9275137000004179]"/>
        <s v="[1.4937205999999605]"/>
        <s v="[2.160427599999821]"/>
        <s v="[1.5260197000002336]"/>
        <s v="[1.329316700000163]"/>
        <s v="[1.0163093000001027]"/>
        <s v="[1.361576199999945]"/>
        <s v="[1.543799200000194]"/>
        <s v="[1.352889100000084]"/>
        <s v="[1.719687199999953]"/>
        <s v="[1.5950179000001299]"/>
        <s v="[1.300730200000089]"/>
        <s v="[2.12891049999962]"/>
        <s v="[2.0568192999999155]"/>
        <s v="[0.9935447000002569]"/>
        <s v="[1.2815607000002274]"/>
        <s v="[2.001261099999738]"/>
        <s v="[5.035958700000265]"/>
        <s v="[2.3200807000002897]"/>
        <s v="[2.519277299999885]"/>
        <s v="[1.4847721000001002]"/>
        <s v="[1.3932666999999128]"/>
        <s v="[1.3338615999996364]"/>
        <s v="[1.3769053000000895]"/>
        <s v="[1.7317665000000488]"/>
        <s v="[1.2262515000002168]"/>
        <s v="[1.5175839999997152]"/>
        <s v="[1.2190267999999378]"/>
        <s v="[1.467877000000044]"/>
        <s v="[2.1463087000001906]"/>
        <s v="[1.5810100999997303]"/>
        <s v="[1.4715099999998529]"/>
        <s v="[2.1443019000003005]"/>
        <s v="[1.0865335999997114]"/>
        <s v="[1.3336017999999967]"/>
        <s v="[1.4369274999999107]"/>
        <s v="[1.5037537999996857]"/>
        <s v="[1.9274287999996886]"/>
        <s v="[1.7265074000001732]"/>
        <s v="[1.4498607999998967]"/>
        <s v="[1.4622669000000315]"/>
        <s v="[1.1837637999997241]"/>
        <s v="[1.2036321000000498]"/>
        <s v="[1.2608557000003202]"/>
        <s v="[2.9118273000003683]"/>
        <s v="[1.6656308999999965]"/>
        <s v="[1.2514184999999998]"/>
        <s v="[1.6866573000002063]"/>
        <s v="[1.2668580999998085]"/>
        <s v="[1.3858807999999954]"/>
        <s v="[1.5618669999998929]"/>
        <s v="[1.6381482000001597]"/>
        <s v="[1.308597700000064]"/>
        <s v="[1.6299199000000044]"/>
        <s v="[2.444645000000037]"/>
        <s v="[1.434885000000122]"/>
        <s v="[1.692450000000008]"/>
        <s v="[1.407387099999596]"/>
        <s v="[1.1529130999997506]"/>
        <s v="[2.043732199999795]"/>
        <s v="[1.9683735999997225]"/>
        <s v="[1.1954664999998386]"/>
        <s v="[1.8448318999999174]"/>
        <s v="[1.5680716000001667]"/>
        <s v="[1.2368543000002319]"/>
        <s v="[1.743760399999701]"/>
        <s v="[2.693097399999715]"/>
        <s v="[1.1779222999998638]"/>
        <s v="[2.2361275000002934]"/>
        <s v="[1.1171346000000995]"/>
        <s v="[2.0296455000002425]"/>
        <s v="[2.1403949000000466]"/>
        <s v="[2.6499533999999585]"/>
        <s v="[1.3140578000002279]"/>
        <s v="[1.9279928000000837]"/>
        <s v="[1.381195899999966]"/>
        <s v="[1.4902768000001743]"/>
        <s v="[1.314147999999932]"/>
        <s v="[1.7030523000003086]"/>
        <s v="[1.2220564000003833]"/>
        <s v="[1.4252791000003526]"/>
        <s v="[2.132068700000218]"/>
        <s v="[1.2528962999999749]"/>
        <s v="[2.452346000000034]"/>
        <s v="[1.620082800000091]"/>
        <s v="[1.2137922000001709]"/>
        <s v="[1.364198899999792]"/>
        <s v="[1.9012604999998075]"/>
        <s v="[1.252878399999645]"/>
        <s v="[1.7180026999999427]"/>
        <s v="[1.8731769999999415]"/>
        <s v="[1.405887200000052]"/>
        <s v="[1.461577600000055]"/>
        <s v="[1.364211300000079]"/>
        <s v="[1.7916468000003078]"/>
        <s v="[1.3028522999998131]"/>
        <s v="[1.5414992000000893]"/>
        <s v="[1.2882549000000836]"/>
        <s v="[1.6473350999999639]"/>
        <s v="[2.0814047000003484]"/>
        <s v="[1.4885863999998037]"/>
        <s v="[1.6139661999995951]"/>
        <s v="[1.5673885999999584]"/>
        <s v="[1.504932099999678]"/>
        <s v="[2.034031000000141]"/>
        <s v="[1.2153407999999217]"/>
        <s v="[1.5961496999998417]"/>
        <s v="[1.6517076000000088]"/>
        <s v="[1.4213555999999699]"/>
        <s v="[2.3419269000000895]"/>
        <s v="[1.4065005000002202]"/>
        <s v="[1.3914435000001504]"/>
        <s v="[3.0051595999998426]"/>
        <s v="[2.032494999999926]"/>
        <s v="[1.8425468000000365]"/>
        <s v="[1.5588124999999309]"/>
        <s v="[1.3443597999998929]"/>
        <s v="[1.3554347000003872]"/>
        <s v="[1.5773862000000918]"/>
        <s v="[1.5050570999997035]"/>
        <s v="[2.1921093999999357]"/>
        <s v="[1.692848099999992]"/>
        <s v="[1.7738451000000168]"/>
        <s v="[1.5475086999999803]"/>
        <s v="[1.6320105999998304]"/>
        <s v="[1.0966874999999163]"/>
        <s v="[1.540345299999899]"/>
        <s v="[1.3491293999995833]"/>
        <s v="[1.549072900000283]"/>
        <s v="[1.487281300000177]"/>
        <s v="[1.1469984999998815]"/>
        <s v="[1.183966000000055]"/>
        <s v="[1.226545100000294]"/>
        <s v="[1.2747051999999712]"/>
        <s v="[1.3198511999999027]"/>
        <s v="[1.2237092000000303]"/>
        <s v="[1.9289115999999922]"/>
        <s v="[1.8894281000002593]"/>
        <s v="[1.3979011999999784]"/>
        <s v="[2.0394356000001608]"/>
        <s v="[1.2847931000001154]"/>
        <s v="[1.6286541000008583]"/>
        <s v="[1.2876787000004697]"/>
        <s v="[1.3970103999999992]"/>
        <s v="[1.4217067999998108]"/>
        <s v="[1.5114642000007734]"/>
        <s v="[1.8526841000002605]"/>
        <s v="[1.7769243000002461]"/>
        <s v="[1.7213981999993848]"/>
        <s v="[2.5720311000004585]"/>
        <s v="[1.688478000000032]"/>
        <s v="[1.6646383999996033]"/>
        <s v="[1.2829751999997825]"/>
        <s v="[1.605443100001139]"/>
        <s v="[2.171025200001168]"/>
        <s v="[1.7435213000007934]"/>
        <s v="[1.5771872000004805]"/>
        <s v="[1.3767644999988988]"/>
        <s v="[1.5523886000009952]"/>
        <s v="[1.2965497000004689]"/>
        <s v="[1.5466952999995556]"/>
        <s v="[2.9039811000002373]"/>
        <s v="[3.2794212000007974]"/>
        <s v="[1.4265715000001364]"/>
        <s v="[1.553558100000373]"/>
        <s v="[1.3123233999995136]"/>
        <s v="[1.2291774000004807]"/>
        <s v="[1.5533702000011544]"/>
        <s v="[2.0462508000000525]"/>
        <s v="[1.66857600000003]"/>
        <s v="[3.1241915999999037]"/>
        <s v="[1.6075436000010086]"/>
        <s v="[1.4250673000005918]"/>
        <s v="[1.3476867999997921]"/>
        <s v="[1.304927499999394]"/>
        <s v="[1.456439900000987]"/>
        <s v="[1.2851547000009305]"/>
        <s v="[1.3825436999995873]"/>
        <s v="[1.4643106000003172]"/>
        <s v="[1.5606955999992351]"/>
        <s v="[1.9098451000008936]"/>
        <s v="[1.278447500000766]"/>
        <s v="[1.2707793999998103]"/>
        <s v="[1.4341363000003184]"/>
        <s v="[1.3661171999992803]"/>
        <s v="[1.7814178999997239]"/>
        <s v="[1.495719200000167]"/>
        <s v="[1.8117065000005823]"/>
        <s v="[2.8239840000005643]"/>
        <s v="[2.089243299998998]"/>
        <s v="[2.743341800000053]"/>
        <s v="[2.4071797000015067]"/>
        <s v="[1.5583188000000519]"/>
        <s v="[1.8222707000004448]"/>
        <s v="[1.3233330000002752]"/>
        <s v="[1.5928103999995074]"/>
        <s v="[1.5867362000008143]"/>
        <s v="[1.6095285000010335]"/>
        <s v="[1.6548067000003357]"/>
        <s v="[1.6409440000006725]"/>
        <s v="[1.6833120999999664]"/>
        <s v="[4.514973500001361]"/>
        <s v="[1.6399819999987812]"/>
        <s v="[1.0165278000004037]"/>
        <s v="[1.9445419999992737]"/>
        <s v="[1.5952723000009428]"/>
        <s v="[1.5406564999993861]"/>
        <s v="[1.6416886000006343]"/>
        <s v="[1.3595544999989215]"/>
        <s v="[1.809758299999885]"/>
        <s v="[1.7349651000004087]"/>
        <s v="[1.3134406999997736]"/>
        <s v="[1.2335892999999487]"/>
        <s v="[1.269896300000255]"/>
        <s v="[1.2238094999993336]"/>
        <s v="[1.4512935000002471]"/>
        <s v="[1.5794865000007121]"/>
        <s v="[1.7407961000008072]"/>
        <s v="[1.6744365999984439]"/>
        <s v="[1.2406678999996075]"/>
        <s v="[2.050647800000661]"/>
        <s v="[2.2290207000005466]"/>
        <s v="[1.8017744000007951]"/>
        <s v="[1.4165789999988192]"/>
        <s v="[1.427203200000804]"/>
        <s v="[1.8716402999998536]"/>
        <s v="[1.6618442999988474]"/>
        <s v="[2.0796267000005173]"/>
        <s v="[1.760212600000159]"/>
        <s v="[1.271357399999033]"/>
        <s v="[1.5077175999995234]"/>
        <s v="[1.4960904999988998]"/>
        <s v="[1.689280199998393]"/>
        <s v="[1.7344327000009798]"/>
        <s v="[1.2759507999999187]"/>
        <s v="[1.449155600001177]"/>
        <s v="[1.5482990000000427]"/>
        <s v="[1.5573674999996001]"/>
        <s v="[1.152041300001656]"/>
        <s v="[2.134975299999496]"/>
        <s v="[1.9779039999993984]"/>
        <s v="[1.36233109999921]"/>
        <s v="[1.3028193000009196]"/>
        <s v="[1.558377900000778]"/>
        <s v="[1.3223170000001119]"/>
        <s v="[1.608339899999919]"/>
        <s v="[1.8267143000011856]"/>
        <s v="[1.6948664999999892]"/>
        <s v="[1.5679063999996288]"/>
        <s v="[1.610858100000769]"/>
        <s v="[1.8989974999985861]"/>
        <s v="[1.4248977999995986]"/>
        <s v="[1.8908172999999806]"/>
        <s v="[1.678343200001109]"/>
        <s v="[1.3985124000009819]"/>
        <s v="[1.4642728999988321]"/>
        <s v="[1.3752793000003294]"/>
        <s v="[1.528266799999983]"/>
        <s v="[1.5540899999996327]"/>
        <s v="[1.3840565999998944]"/>
        <s v="[1.689782400000695]"/>
        <s v="[2.0168627000002743]"/>
        <s v="[2.126530900000944]"/>
        <s v="[1.2854478000008385]"/>
        <s v="[1.4873434999990423]"/>
        <s v="[1.9264115999994829]"/>
        <s v="[1.1572572999994009]"/>
        <s v="[1.605804499999067]"/>
        <s v="[2.761682700000165]"/>
        <s v="[2.412710500000685]"/>
        <s v="[1.3552458000012848]"/>
        <s v="[1.4896831000005477]"/>
        <s v="[1.2188585000003513]"/>
        <s v="[1.6251800999998522]"/>
        <s v="[1.4809791000006953]"/>
        <s v="[1.3773519999995187]"/>
        <s v="[1.3246788999986165]"/>
        <s v="[1.7559233000010863]"/>
        <s v="[1.2728962000001047]"/>
        <s v="[1.9534262999986822]"/>
        <s v="[1.7811237000005349]"/>
        <s v="[1.4678020999999717]"/>
        <s v="[1.2056761999992887]"/>
        <s v="[1.405832600001304]"/>
        <s v="[2.254959100000633]"/>
        <s v="[1.354047000000719]"/>
        <s v="[1.6149789999999484]"/>
        <s v="[2.2203850999994756]"/>
        <s v="[1.8402017000007618]"/>
        <s v="[1.6067736000004516]"/>
        <s v="[1.3487627000013163]"/>
        <s v="[1.5192360000000917]"/>
        <s v="[1.6240887000003568]"/>
        <s v="[1.5849687000008998]"/>
        <s v="[1.9924670000000333]"/>
        <s v="[2.037704099999246]"/>
        <s v="[2.624866699999984]"/>
        <s v="[1.0137821000007534]"/>
        <s v="[1.799544199999218]"/>
        <s v="[1.4768129000003682]"/>
        <s v="[1.8753176999998686]"/>
        <s v="[1.962422399999923]"/>
        <s v="[1.4279645000005985]"/>
        <s v="[1.3136302000002615]"/>
        <s v="[1.5186806000001525]"/>
        <s v="[1.2892977999999857]"/>
        <s v="[1.7361179999988963]"/>
        <s v="[1.1053766999993968]"/>
        <s v="[1.7146424999991723]"/>
        <s v="[1.4608024999997724]"/>
        <s v="[1.6655990999988717]"/>
        <s v="[1.7559808000005432]"/>
        <s v="[1.8055773999985831]"/>
        <s v="[3.6244380999996793]"/>
        <s v="[1.3194320000002335]"/>
        <s v="[1.9783574000011868]"/>
        <s v="[1.4430620000002818]"/>
        <s v="[1.550737300000037]"/>
        <s v="[1.4849723999996058]"/>
        <s v="[1.2950422000012622]"/>
        <s v="[1.0637779000007868]"/>
        <s v="[1.2913265999995929]"/>
        <s v="[1.030568799998946]"/>
        <s v="[2.3158886000001075]"/>
        <s v="[1.7398549000008643]"/>
        <s v="[1.7701626999987639]"/>
        <s v="[2.025464700000157]"/>
        <s v="[1.8199397000007593]"/>
        <s v="[1.8306334000008064]"/>
        <s v="[1.7922873000006803]"/>
        <s v="[2.5774600000004284]"/>
        <s v="[1.632371100000455]"/>
        <s v="[1.6511021999995137]"/>
        <s v="[1.5261712999999872]"/>
        <s v="[1.4461871999992582]"/>
        <s v="[1.7567763999995805]"/>
        <s v="[1.404274800001076]"/>
        <s v="[1.575027200000477]"/>
        <s v="[1.6726211000004696]"/>
        <s v="[1.8237515999990137]"/>
        <s v="[1.1219684999996389]"/>
      </sharedItems>
    </cacheField>
    <cacheField name="mouse.clicked_name" numFmtId="0">
      <sharedItems>
        <s v="['Target']"/>
      </sharedItems>
    </cacheField>
    <cacheField name="Distractor" numFmtId="0">
      <sharedItems containsSemiMixedTypes="0" containsString="0" containsNumber="1" containsInteger="1">
        <n v="10.0"/>
        <n v="5.0"/>
      </sharedItems>
    </cacheField>
    <cacheField name="RT" numFmtId="0">
      <sharedItems containsSemiMixedTypes="0" containsString="0" containsNumber="1">
        <n v="1.6360458000563"/>
        <n v="1.38128149998374"/>
        <n v="1.28247119998559"/>
        <n v="1.40581809997092"/>
        <n v="1.15263320005033"/>
        <n v="1.21657669998239"/>
        <n v="1.43243990000337"/>
        <n v="1.32351949997246"/>
        <n v="1.39951879996806"/>
        <n v="1.49970129993744"/>
        <n v="1.16904829989653"/>
        <n v="1.10384060000069"/>
        <n v="1.16615069995168"/>
        <n v="1.08210529992356"/>
        <n v="1.56986990000586"/>
        <n v="3.45073000004049"/>
        <n v="1.25074390007648"/>
        <n v="2.98826020001433"/>
        <n v="1.48258090007584"/>
        <n v="1.23359740001615"/>
        <n v="1.18608509993646"/>
        <n v="1.21910510002635"/>
        <n v="1.32312340009957"/>
        <n v="1.34898159990552"/>
        <n v="2.08958449994679"/>
        <n v="1.48576799989677"/>
        <n v="1.03100319998338"/>
        <n v="1.82498290005605"/>
        <n v="2.03792369994334"/>
        <n v="1.65697760006878"/>
        <n v="1.3176246000221"/>
        <n v="1.42564130004029"/>
        <n v="1.5485443000216"/>
        <n v="1.42171570006757"/>
        <n v="1.2777973000193"/>
        <n v="1.62359339999966"/>
        <n v="1.04879779997281"/>
        <n v="1.38697980006691"/>
        <n v="2.10662660002708"/>
        <n v="1.42106930003501"/>
        <n v="1.46740780002437"/>
        <n v="1.54996520001441"/>
        <n v="1.44247780006844"/>
        <n v="1.2483602000866"/>
        <n v="1.58098850003443"/>
        <n v="1.69838509999681"/>
        <n v="1.40543929999694"/>
        <n v="1.60147100000176"/>
        <n v="1.33609429991338"/>
        <n v="1.60099149995949"/>
        <n v="1.21674549998715"/>
        <n v="1.09936360002029"/>
        <n v="1.78648490004707"/>
        <n v="1.11704490007832"/>
        <n v="1.43420100002549"/>
        <n v="1.16679419996216"/>
        <n v="1.45096199994441"/>
        <n v="1.47226330009289"/>
        <n v="1.3117607999593"/>
        <n v="1.85035339999012"/>
        <n v="1.3330219000345"/>
        <n v="1.13568830001167"/>
        <n v="1.1152931000106"/>
        <n v="1.13075480004772"/>
        <n v="2.6552975999657"/>
        <n v="1.35174860002007"/>
        <n v="1.21479500003624"/>
        <n v="1.31451120006386"/>
        <n v="1.30163610004819"/>
        <n v="1.41892870003357"/>
        <n v="1.13744900003075"/>
        <n v="2.17133370006922"/>
        <n v="2.07888590008951"/>
        <n v="1.05148589995224"/>
        <n v="3.30298929999116"/>
        <n v="1.42177010001614"/>
        <n v="0.966820299974642"/>
        <n v="1.25348860002122"/>
        <n v="1.06598890002351"/>
        <n v="1.28843760001473"/>
        <n v="1.72039959998801"/>
        <n v="1.27248609997332"/>
        <n v="1.12037290004082"/>
        <n v="1.75184380006976"/>
        <n v="1.60367520002182"/>
        <n v="1.40430309996008"/>
        <n v="1.60410850006155"/>
        <n v="1.41852310008835"/>
        <n v="1.31522429990582"/>
        <n v="1.25098150002304"/>
        <n v="1.36827479989733"/>
        <n v="1.30080730002373"/>
        <n v="1.48532999993767"/>
        <n v="1.2835612000199"/>
        <n v="1.86508979997597"/>
        <n v="5.59939129999838"/>
        <n v="1.66423440002836"/>
        <n v="1.52511990000493"/>
        <n v="1.23130220000166"/>
        <n v="1.88541029999032"/>
        <n v="1.84267349995207"/>
        <n v="1.5499039000133"/>
        <n v="1.13797320006415"/>
        <n v="1.18247219990007"/>
        <n v="1.75178589997813"/>
        <n v="1.23414499999489"/>
        <n v="1.4288624000037"/>
        <n v="2.12116149999201"/>
        <n v="2.17122819996438"/>
        <n v="1.698576600058"/>
        <n v="2.23846570006571"/>
        <n v="1.28584080003201"/>
        <n v="1.53333840006962"/>
        <n v="2.73578960006125"/>
        <n v="2.28391849994659"/>
        <n v="1.95259000000078"/>
        <n v="1.49238770001102"/>
        <n v="1.56211249995976"/>
        <n v="1.5023328999523"/>
        <n v="1.25372089992742"/>
        <n v="1.31296270003076"/>
        <n v="1.77398210007231"/>
        <n v="1.44966559996828"/>
        <n v="1.36599680001381"/>
        <n v="2.2868804000318"/>
        <n v="1.90733129996806"/>
        <n v="2.01960270002018"/>
        <n v="1.10742659994866"/>
        <n v="1.63606769999023"/>
        <n v="1.11869270005263"/>
        <n v="2.2121407999657"/>
        <n v="2.25550790003035"/>
        <n v="3.70458959997631"/>
        <n v="2.01820220006629"/>
        <n v="1.83711840002797"/>
        <n v="1.19799669994972"/>
        <n v="1.6371146000456"/>
        <n v="1.06775309995282"/>
        <n v="1.08238829998299"/>
        <n v="1.21965480002108"/>
        <n v="1.24924049992114"/>
        <n v="1.20875079999677"/>
        <n v="1.2521243999945"/>
        <n v="1.23359149997122"/>
        <n v="1.18751029996201"/>
        <n v="1.78756259998772"/>
        <n v="1.31428599997889"/>
        <n v="1.14987269998528"/>
        <n v="1.64837059995625"/>
        <n v="2.44101789989508"/>
        <n v="1.4035705999704"/>
        <n v="1.54826220008544"/>
        <n v="1.50020690006203"/>
        <n v="1.53736499999649"/>
        <n v="1.54745299997739"/>
        <n v="1.70230269990861"/>
        <n v="1.46646459994371"/>
        <n v="1.39890989998821"/>
        <n v="1.67024520004633"/>
        <n v="3.81981400004588"/>
        <n v="1.24999839998781"/>
        <n v="1.51395409996621"/>
        <n v="1.30360690003726"/>
        <n v="1.29953950003255"/>
        <n v="1.73490830010268"/>
        <n v="2.4199418000644"/>
        <n v="1.83419399999547"/>
        <n v="2.17007360002025"/>
        <n v="1.87971789995208"/>
        <n v="1.88198349997401"/>
        <n v="2.4558719000779"/>
        <n v="1.66903300001285"/>
        <n v="3.9696532000089"/>
        <n v="2.47129269992001"/>
        <n v="1.16558629996143"/>
        <n v="1.43182910000905"/>
        <n v="1.22838450002018"/>
        <n v="1.16802039998583"/>
        <n v="1.36533389997202"/>
        <n v="1.42035140004009"/>
        <n v="1.66829729999881"/>
        <n v="1.23241320007946"/>
        <n v="2.46693059999961"/>
        <n v="1.38644039991777"/>
        <n v="1.90019329998176"/>
        <n v="1.36631249997299"/>
        <n v="1.41568559990264"/>
        <n v="1.54945839999709"/>
        <n v="2.05452719994355"/>
        <n v="1.70161879993975"/>
        <n v="1.53569299995433"/>
        <n v="1.46258759999182"/>
        <n v="1.43406130000948"/>
        <n v="1.40260780008975"/>
        <n v="1.65142369992099"/>
        <n v="1.44581580010708"/>
        <n v="2.43504240002948"/>
        <n v="1.4482911999803"/>
        <n v="1.14707890001591"/>
        <n v="1.20220379997044"/>
        <n v="1.93334560003131"/>
        <n v="1.58470389991998"/>
        <n v="1.41800070006866"/>
        <n v="2.43618269998114"/>
        <n v="2.03781360003631"/>
        <n v="2.25506960006896"/>
        <n v="3.5293485999573"/>
        <n v="1.28862230002414"/>
        <n v="1.61961739999242"/>
        <n v="1.36526910006068"/>
        <n v="1.43249139992985"/>
        <n v="1.83112859993707"/>
        <n v="1.11885000008624"/>
        <n v="1.66637660004198"/>
        <n v="2.51511710009071"/>
        <n v="1.55137339991051"/>
        <n v="1.77542159997392"/>
        <n v="2.36832420004066"/>
        <n v="3.01897009997628"/>
        <n v="1.38444950000848"/>
        <n v="1.87050880002789"/>
        <n v="1.71492689999286"/>
        <n v="1.51943179999943"/>
        <n v="1.33502460003364"/>
        <n v="1.07204050000291"/>
        <n v="1.4030501000816"/>
        <n v="1.66944089997559"/>
        <n v="1.27332279994152"/>
        <n v="2.87685950007289"/>
        <n v="3.55352990003302"/>
        <n v="1.30112109996844"/>
        <n v="1.54944269999396"/>
        <n v="2.10534999996889"/>
        <n v="1.17343859991524"/>
        <n v="1.93180940009187"/>
        <n v="1.8809987999266"/>
        <n v="1.45108729996718"/>
        <n v="1.57347379997372"/>
        <n v="2.52116430003661"/>
        <n v="1.40650390007067"/>
        <n v="1.19629760005045"/>
        <n v="1.00161949999164"/>
        <n v="1.03050920006353"/>
        <n v="1.41950680001173"/>
        <n v="1.41804849996697"/>
        <n v="1.3703569000354"/>
        <n v="1.73459170002024"/>
        <n v="1.42050929996185"/>
        <n v="1.1615627000574"/>
        <n v="1.31847910000942"/>
        <n v="1.23434040008578"/>
        <n v="1.18599259993061"/>
        <n v="1.02950920001603"/>
        <n v="1.11499799997545"/>
        <n v="1.03728749998845"/>
        <n v="1.19827579997945"/>
        <n v="1.63636829995084"/>
        <n v="1.1474568999838"/>
        <n v="1.37135279993526"/>
        <n v="1.83955589996185"/>
        <n v="1.54070559993851"/>
        <n v="1.32265520002692"/>
        <n v="1.20481569995172"/>
        <n v="1.53340079996269"/>
        <n v="1.23670730006415"/>
        <n v="0.894984300015494"/>
        <n v="2.16052979999221"/>
        <n v="1.25647049990948"/>
        <n v="1.63508519995957"/>
        <n v="1.05551089998334"/>
        <n v="1.39792090002447"/>
        <n v="1.73459210002329"/>
        <n v="2.4006839999929"/>
        <n v="1.08325389993842"/>
        <n v="1.25296930002514"/>
        <n v="1.11424610007088"/>
        <n v="1.06935120001435"/>
        <n v="1.09438129991758"/>
        <n v="2.485899399966"/>
        <n v="1.18499620002694"/>
        <n v="1.21929999999701"/>
        <n v="1.16685659997165"/>
        <n v="1.01687629998195"/>
        <n v="1.73594109993428"/>
        <n v="3.00191879994235"/>
        <n v="1.53959619998931"/>
        <n v="1.59859109995886"/>
        <n v="1.16976819990668"/>
        <n v="1.84907789994031"/>
        <n v="1.76681350008584"/>
        <n v="1.8480239000637"/>
        <n v="1.88795949995983"/>
        <n v="1.90421399998012"/>
        <n v="2.25892389996442"/>
        <n v="1.53503370005637"/>
        <n v="1.73662990005686"/>
        <n v="1.27259449998382"/>
        <n v="1.30569629999808"/>
        <n v="1.38333560002502"/>
        <n v="1.54032350005581"/>
        <n v="1.29276730003766"/>
        <n v="1.65802630002144"/>
        <n v="1.38617190008517"/>
        <n v="1.34602820000145"/>
        <n v="1.22298219997901"/>
        <n v="1.45208249997813"/>
        <n v="1.51561650005169"/>
        <n v="1.81338790000882"/>
        <n v="1.88554389995988"/>
        <n v="1.91735230002086"/>
        <n v="1.75516459997743"/>
        <n v="1.35381180001422"/>
        <n v="1.35755079996306"/>
        <n v="1.39958939992357"/>
        <n v="1.88687180005945"/>
        <n v="1.41606289998162"/>
        <n v="1.45080480002798"/>
        <n v="1.30205629998818"/>
        <n v="1.73091439995914"/>
        <n v="1.38886889989953"/>
        <n v="2.41565590002574"/>
        <n v="1.78090000001247"/>
        <n v="1.58606170001439"/>
        <n v="2.03499640000518"/>
        <n v="1.19690179999452"/>
        <n v="1.74274739995598"/>
        <n v="1.56485100009012"/>
        <n v="1.78566709998995"/>
        <n v="1.24832690006587"/>
        <n v="2.05017599998973"/>
        <n v="1.41942559997551"/>
        <n v="1.15028140007052"/>
        <n v="1.26549010002054"/>
        <n v="1.50147420004941"/>
        <n v="1.63423919992055"/>
        <n v="1.31783539999742"/>
        <n v="1.3361146999523"/>
        <n v="1.66760419995989"/>
        <n v="1.50735379999969"/>
        <n v="1.47896350000519"/>
        <n v="1.75231750006787"/>
        <n v="2.21651550009846"/>
        <n v="1.30122869997285"/>
        <n v="1.59727749996818"/>
        <n v="2.38743250002153"/>
        <n v="1.63853380002547"/>
        <n v="1.28899329993873"/>
        <n v="1.86617999989539"/>
        <n v="1.43621519999578"/>
        <n v="1.33171920001041"/>
        <n v="1.48518930003047"/>
        <n v="1.10574409994296"/>
        <n v="1.57229009992443"/>
        <n v="1.91642150003463"/>
        <n v="2.30791189998853"/>
        <n v="1.52451399993151"/>
        <n v="1.85377139993943"/>
        <n v="1.92084890010301"/>
        <n v="1.39864589995704"/>
        <n v="1.15306150005199"/>
        <n v="2.01872110005933"/>
        <n v="2.03333340003155"/>
        <n v="1.33107219997327"/>
        <n v="3.52300420007668"/>
        <n v="1.3363362000091"/>
        <n v="1.9303430999862"/>
        <n v="1.63670659996569"/>
        <n v="1.36923930002376"/>
        <n v="2.21721979998983"/>
        <n v="1.46926919999532"/>
        <n v="1.23532899993006"/>
        <n v="1.9490062999539"/>
        <n v="2.21517139999195"/>
        <n v="1.93438240000978"/>
        <n v="1.53752030001487"/>
        <n v="1.51501909992657"/>
        <n v="1.87216710008215"/>
        <n v="1.2684794999659"/>
        <n v="1.69070799998007"/>
        <n v="1.36548370006494"/>
        <n v="1.63346519996412"/>
        <n v="1.25213919999077"/>
        <n v="2.11434049997478"/>
        <n v="4.85220030008349"/>
        <n v="1.28549180005211"/>
        <n v="1.66820289997849"/>
        <n v="1.39830240001901"/>
        <n v="1.58428309997543"/>
        <n v="1.70235439995303"/>
        <n v="1.26931590004824"/>
        <n v="1.16857679991517"/>
        <n v="1.31758119992446"/>
        <n v="3.20157829998061"/>
        <n v="5.51453769998624"/>
        <n v="1.75775720004457"/>
        <n v="2.40363980003166"/>
        <n v="1.35113750002346"/>
        <n v="1.65325329999905"/>
        <n v="2.16392520000226"/>
        <n v="1.24759409995749"/>
        <n v="1.18521329993382"/>
        <n v="1.13487249996978"/>
        <n v="1.31758120004087"/>
        <n v="1.65254259994253"/>
        <n v="1.762678100029"/>
        <n v="1.21411570010241"/>
        <n v="2.40364659996703"/>
        <n v="3.204634899972"/>
        <n v="1.18274359998758"/>
        <n v="1.00127670005895"/>
        <n v="1.41762269998434"/>
        <n v="0.962612799950875"/>
        <n v="2.85461449995636"/>
        <n v="1.14964870002586"/>
        <n v="1.59724310005549"/>
        <n v="1.21991119999438"/>
        <n v="0.98147020000033"/>
        <n v="1.72851699998136"/>
        <n v="2.78443550004158"/>
        <n v="2.53325550002045"/>
        <n v="1.33937479997985"/>
        <n v="3.73896760004572"/>
        <n v="1.36675129993818"/>
        <n v="1.94968249998055"/>
        <n v="6.01498480001464"/>
        <n v="1.39778760005719"/>
        <n v="1.42999880004208"/>
        <n v="1.21408950001932"/>
        <n v="1.33301379997283"/>
        <n v="1.46314240002539"/>
        <n v="1.38037879997864"/>
        <n v="1.05044779996387"/>
        <n v="3.85229629999958"/>
        <n v="0.911772900028154"/>
        <n v="2.28838669997639"/>
        <n v="2.03628270002082"/>
        <n v="1.96689929999411"/>
        <n v="1.56743220007047"/>
        <n v="1.79871470003854"/>
        <n v="1.34684080001898"/>
        <n v="1.25636500003747"/>
        <n v="1.19730540004093"/>
        <n v="1.18124870001338"/>
        <n v="1.12935699999798"/>
        <n v="1.986003399943"/>
        <n v="1.78032899997197"/>
        <n v="1.26110340002924"/>
        <n v="2.1448116999818"/>
        <n v="1.09739909996278"/>
        <n v="2.05089750001207"/>
        <n v="1.38719079992733"/>
        <n v="1.31617899995762"/>
        <n v="1.42857720004394"/>
        <n v="1.67783689999487"/>
        <n v="1.09601119998842"/>
        <n v="1.03295600006822"/>
        <n v="2.98080689995549"/>
        <n v="1.4683681000024"/>
        <n v="1.19351450004614"/>
        <n v="0.858173200045712"/>
        <n v="1.68556140002328"/>
        <n v="1.49671869992744"/>
        <n v="1.98292470001615"/>
        <n v="1.01900730002671"/>
        <n v="2.38911360001657"/>
        <n v="1.69628129992634"/>
        <n v="1.68912559992168"/>
        <n v="1.78485910000745"/>
        <n v="1.68678510002791"/>
        <n v="1.2859195000492"/>
        <n v="1.28639110003132"/>
        <n v="1.11602419998962"/>
        <n v="1.33861249999608"/>
        <n v="1.91558599995914"/>
        <n v="1.60666219994891"/>
        <n v="1.16350530006457"/>
        <n v="1.38408379990141"/>
        <n v="1.32348390005063"/>
        <n v="2.02758220001123"/>
        <n v="1.20106380002107"/>
        <n v="1.16383269999641"/>
        <n v="1.23540070001035"/>
        <n v="1.12212229997385"/>
        <n v="1.20152700005564"/>
        <n v="1.6714486000128"/>
        <n v="2.60125049995258"/>
        <n v="3.23669910000171"/>
        <n v="1.07007140002679"/>
        <n v="1.16197929996997"/>
        <n v="1.03433439997024"/>
        <n v="1.68681770004332"/>
        <n v="1.68244810006581"/>
        <n v="1.40178020007442"/>
        <n v="1.33722119999583"/>
        <n v="0.864817699999548"/>
        <n v="1.32927670003846"/>
        <n v="1.05111340002622"/>
        <n v="1.31770919996779"/>
        <n v="2.51253960002213"/>
        <n v="1.11223990004509"/>
        <n v="1.52906149998307"/>
        <n v="2.03996639989782"/>
        <n v="1.14843230007682"/>
        <n v="1.40051519998814"/>
        <n v="3.77442440006416"/>
        <n v="1.63222730008419"/>
        <n v="1.18370099994353"/>
        <n v="2.98255940002854"/>
        <n v="0.966534500010311"/>
        <n v="1.80254669999703"/>
        <n v="1.21748320001643"/>
        <n v="1.08262100000865"/>
        <n v="1.00018989993259"/>
        <n v="1.06985720002558"/>
        <n v="1.68193379999138"/>
        <n v="1.7485571000725"/>
        <n v="1.20111020002514"/>
        <n v="1.84874289995059"/>
        <n v="1.31792900001164"/>
        <n v="1.03729619993828"/>
        <n v="1.35292670002672"/>
        <n v="1.58714489999692"/>
        <n v="2.15433199994731"/>
        <n v="2.02784569992218"/>
        <n v="1.55548710003495"/>
        <n v="2.04695509991142"/>
        <n v="1.48926250007934"/>
        <n v="1.62059549998957"/>
        <n v="0.9197937999852"/>
        <n v="0.766425900044851"/>
        <n v="1.39641150005627"/>
        <n v="1.26559329999145"/>
        <n v="1.9667406999506"/>
        <n v="1.06533320003654"/>
        <n v="1.53535629995167"/>
        <n v="1.35233640007209"/>
        <n v="1.61588059994392"/>
        <n v="1.6037018999923"/>
        <n v="1.997960699955"/>
        <n v="1.31703459995333"/>
        <n v="2.48679840005934"/>
        <n v="2.11919370002578"/>
        <n v="1.60089859995059"/>
        <n v="2.56725469999946"/>
        <n v="2.53248689998872"/>
        <n v="3.02695209998637"/>
        <n v="1.14914470002986"/>
        <n v="1.31951840000692"/>
        <n v="1.40010119997896"/>
        <n v="1.04831410001497"/>
        <n v="1.2837854999816"/>
        <n v="1.04023869999218"/>
        <n v="0.76751899998635"/>
        <n v="1.50050280010327"/>
        <n v="1.20767180004622"/>
        <n v="1.7981416999828"/>
        <n v="1.28143700002692"/>
        <n v="1.55347329995129"/>
        <n v="1.08504379994701"/>
        <n v="1.9850403999444"/>
        <n v="1.37317430006805"/>
        <n v="1.48247639997862"/>
        <n v="1.23763560003135"/>
        <n v="1.14697620004881"/>
        <n v="0.936791000072844"/>
        <n v="1.43750300002284"/>
        <n v="1.61502539995126"/>
        <n v="1.26502209994941"/>
        <n v="1.51603970001451"/>
        <n v="1.95054430002346"/>
        <n v="1.29925339994952"/>
        <n v="1.39739239995833"/>
        <n v="1.28453780000563"/>
        <n v="1.23386609996669"/>
        <n v="1.05992760008666"/>
        <n v="1.05855009995866"/>
        <n v="1.05328589992132"/>
        <n v="1.28061319992411"/>
        <n v="2.79678440000861"/>
        <n v="1.30682049994356"/>
        <n v="1.04566480009816"/>
        <n v="1.48210190003737"/>
        <n v="1.16759330000013"/>
        <n v="1.65810359999977"/>
        <n v="1.36235920000035"/>
        <n v="1.21138679999967"/>
        <n v="1.70854460000009"/>
        <n v="1.74914050000006"/>
        <n v="1.31911300000001"/>
        <n v="1.25278090000028"/>
        <n v="1.58218479999959"/>
        <n v="1.26059050000003"/>
        <n v="2.06599370000003"/>
        <n v="1.18431399999963"/>
        <n v="1.44451939999999"/>
        <n v="1.53584890000001"/>
        <n v="1.28451129999984"/>
        <n v="2.22334649999993"/>
        <n v="1.46421100000043"/>
        <n v="1.16837650000024"/>
        <n v="1.74078379999991"/>
        <n v="1.42080209999994"/>
        <n v="1.38958349999984"/>
        <n v="1.39922389999992"/>
        <n v="1.54346729999997"/>
        <n v="1.4943905"/>
        <n v="1.58967000000029"/>
        <n v="1.06582389999994"/>
        <n v="1.58940290000009"/>
        <n v="1.60899440000002"/>
        <n v="1.55550459999994"/>
        <n v="1.54169499999989"/>
        <n v="2.30709929999966"/>
        <n v="1.43391700000029"/>
        <n v="1.2490316999997"/>
        <n v="1.44006829999989"/>
        <n v="1.5597745"/>
        <n v="2.44286250000004"/>
        <n v="1.28222619999996"/>
        <n v="1.55776149999974"/>
        <n v="1.33327210000015"/>
        <n v="1.43670780000002"/>
        <n v="1.45880739999984"/>
        <n v="1.64651990000038"/>
        <n v="2.03578079999988"/>
        <n v="1.20932110000012"/>
        <n v="1.39539090000016"/>
        <n v="1.18454209999981"/>
        <n v="1.29036709999991"/>
        <n v="1.6942011000001"/>
        <n v="1.96106869999994"/>
        <n v="1.70989250000002"/>
        <n v="1.60457980000001"/>
        <n v="1.10191739999982"/>
        <n v="1.14966019999974"/>
        <n v="1.31510760000037"/>
        <n v="1.17436600000019"/>
        <n v="2.13524389999975"/>
        <n v="1.1864201000003"/>
        <n v="1.28396750000001"/>
        <n v="1.18274439999959"/>
        <n v="1.92751370000041"/>
        <n v="1.49372059999996"/>
        <n v="2.16042759999982"/>
        <n v="1.52601970000023"/>
        <n v="1.32931670000016"/>
        <n v="1.0163093000001"/>
        <n v="1.36157619999994"/>
        <n v="1.54379920000019"/>
        <n v="1.35288910000008"/>
        <n v="1.71968719999995"/>
        <n v="1.59501790000012"/>
        <n v="1.30073020000008"/>
        <n v="2.12891049999962"/>
        <n v="2.05681929999991"/>
        <n v="0.993544700000256"/>
        <n v="1.28156070000022"/>
        <n v="2.00126109999973"/>
        <n v="5.03595870000026"/>
        <n v="2.32008070000028"/>
        <n v="2.51927729999988"/>
        <n v="1.4847721000001"/>
        <n v="1.39326669999991"/>
        <n v="1.33386159999963"/>
        <n v="1.37690530000008"/>
        <n v="1.73176650000004"/>
        <n v="1.22625150000021"/>
        <n v="1.51758399999971"/>
        <n v="1.21902679999993"/>
        <n v="1.46787700000004"/>
        <n v="2.14630870000019"/>
        <n v="1.58101009999973"/>
        <n v="1.47150999999985"/>
        <n v="2.1443019000003"/>
        <n v="1.08653359999971"/>
        <n v="1.33360179999999"/>
        <n v="1.43692749999991"/>
        <n v="1.50375379999968"/>
        <n v="1.92742879999968"/>
        <n v="1.72650740000017"/>
        <n v="1.44986079999989"/>
        <n v="1.46226690000003"/>
        <n v="1.18376379999972"/>
        <n v="1.20363210000004"/>
        <n v="1.26085570000032"/>
        <n v="2.91182730000036"/>
        <n v="1.66563089999999"/>
        <n v="1.25141849999999"/>
        <n v="1.6866573000002"/>
        <n v="1.2668580999998"/>
        <n v="1.38588079999999"/>
        <n v="1.56186699999989"/>
        <n v="1.63814820000015"/>
        <n v="1.30859770000006"/>
        <n v="1.6299199"/>
        <n v="2.44464500000003"/>
        <n v="1.43488500000012"/>
        <n v="1.69245"/>
        <n v="1.40738709999959"/>
        <n v="1.15291309999975"/>
        <n v="2.04373219999979"/>
        <n v="1.96837359999972"/>
        <n v="1.19546649999983"/>
        <n v="1.84483189999991"/>
        <n v="1.56807160000016"/>
        <n v="1.23685430000023"/>
        <n v="1.7437603999997"/>
        <n v="2.69309739999971"/>
        <n v="1.17792229999986"/>
        <n v="2.23612750000029"/>
        <n v="1.11713460000009"/>
        <n v="2.02964550000024"/>
        <n v="2.14039490000004"/>
        <n v="2.64995339999995"/>
        <n v="1.31405780000022"/>
        <n v="1.92799280000008"/>
        <n v="1.38119589999996"/>
        <n v="1.49027680000017"/>
        <n v="1.31414799999993"/>
        <n v="1.7030523000003"/>
        <n v="1.22205640000038"/>
        <n v="1.42527910000035"/>
        <n v="2.13206870000021"/>
        <n v="1.25289629999997"/>
        <n v="2.45234600000003"/>
        <n v="1.62008280000009"/>
        <n v="1.21379220000017"/>
        <n v="1.36419889999979"/>
        <n v="1.9012604999998"/>
        <n v="1.25287839999964"/>
        <n v="1.71800269999994"/>
        <n v="1.87317699999994"/>
        <n v="1.40588720000005"/>
        <n v="1.46157760000005"/>
        <n v="1.36421130000007"/>
        <n v="1.7916468000003"/>
        <n v="1.30285229999981"/>
        <n v="1.54149920000008"/>
        <n v="1.28825490000008"/>
        <n v="1.64733509999996"/>
        <n v="2.08140470000034"/>
        <n v="1.4885863999998"/>
        <n v="1.61396619999959"/>
        <n v="1.56738859999995"/>
        <n v="1.50493209999967"/>
        <n v="2.03403100000014"/>
        <n v="1.21534079999992"/>
        <n v="1.59614969999984"/>
        <n v="1.6517076"/>
        <n v="1.42135559999996"/>
        <n v="2.34192690000008"/>
        <n v="1.40650050000022"/>
        <n v="1.39144350000015"/>
        <n v="3.00515959999984"/>
        <n v="2.03249499999992"/>
        <n v="1.84254680000003"/>
        <n v="1.55881249999993"/>
        <n v="1.34435979999989"/>
        <n v="1.35543470000038"/>
        <n v="1.57738620000009"/>
        <n v="1.5050570999997"/>
        <n v="2.19210939999993"/>
        <n v="1.69284809999999"/>
        <n v="1.77384510000001"/>
        <n v="1.54750869999998"/>
        <n v="1.63201059999983"/>
        <n v="1.09668749999991"/>
        <n v="1.54034529999989"/>
        <n v="1.34912939999958"/>
        <n v="1.54907290000028"/>
        <n v="1.48728130000017"/>
        <n v="1.14699849999988"/>
        <n v="1.18396600000005"/>
        <n v="1.22654510000029"/>
        <n v="1.27470519999997"/>
        <n v="1.3198511999999"/>
        <n v="1.22370920000003"/>
        <n v="1.92891159999999"/>
        <n v="1.88942810000025"/>
        <n v="1.39790119999997"/>
        <n v="2.03943560000016"/>
        <n v="1.28479310000011"/>
        <n v="1.62865410000085"/>
        <n v="1.28767870000046"/>
        <n v="1.39701039999999"/>
        <n v="1.42170679999981"/>
        <n v="1.51146420000077"/>
        <n v="1.85268410000026"/>
        <n v="1.77692430000024"/>
        <n v="1.72139819999938"/>
        <n v="2.57203110000045"/>
        <n v="1.68847800000003"/>
        <n v="1.6646383999996"/>
        <n v="1.28297519999978"/>
        <n v="1.60544310000113"/>
        <n v="2.17102520000116"/>
        <n v="1.74352130000079"/>
        <n v="1.57718720000048"/>
        <n v="1.37676449999889"/>
        <n v="1.55238860000099"/>
        <n v="1.29654970000046"/>
        <n v="1.54669529999955"/>
        <n v="2.90398110000023"/>
        <n v="3.27942120000079"/>
        <n v="1.42657150000013"/>
        <n v="1.55355810000037"/>
        <n v="1.31232339999951"/>
        <n v="1.22917740000048"/>
        <n v="1.55337020000115"/>
        <n v="2.04625080000005"/>
        <n v="1.66857600000003"/>
        <n v="3.1241915999999"/>
        <n v="1.607543600001"/>
        <n v="1.42506730000059"/>
        <n v="1.34768679999979"/>
        <n v="1.30492749999939"/>
        <n v="1.45643990000098"/>
        <n v="1.28515470000093"/>
        <n v="1.38254369999958"/>
        <n v="1.46431060000031"/>
        <n v="1.56069559999923"/>
        <n v="1.90984510000089"/>
        <n v="1.27844750000076"/>
        <n v="1.27077939999981"/>
        <n v="1.43413630000031"/>
        <n v="1.36611719999928"/>
        <n v="1.78141789999972"/>
        <n v="1.49571920000016"/>
        <n v="1.81170650000058"/>
        <n v="2.82398400000056"/>
        <n v="2.08924329999899"/>
        <n v="2.74334180000005"/>
        <n v="2.4071797000015"/>
        <n v="1.55831880000005"/>
        <n v="1.82227070000044"/>
        <n v="1.32333300000027"/>
        <n v="1.5928103999995"/>
        <n v="1.58673620000081"/>
        <n v="1.60952850000103"/>
        <n v="1.65480670000033"/>
        <n v="1.64094400000067"/>
        <n v="1.68331209999996"/>
        <n v="4.51497350000136"/>
        <n v="1.63998199999878"/>
        <n v="1.0165278000004"/>
        <n v="1.94454199999927"/>
        <n v="1.59527230000094"/>
        <n v="1.54065649999938"/>
        <n v="1.64168860000063"/>
        <n v="1.35955449999892"/>
        <n v="1.80975829999988"/>
        <n v="1.7349651000004"/>
        <n v="1.31344069999977"/>
        <n v="1.23358929999994"/>
        <n v="1.26989630000025"/>
        <n v="1.22380949999933"/>
        <n v="1.45129350000024"/>
        <n v="1.57948650000071"/>
        <n v="1.7407961000008"/>
        <n v="1.67443659999844"/>
        <n v="1.2406678999996"/>
        <n v="2.05064780000066"/>
        <n v="2.22902070000054"/>
        <n v="1.80177440000079"/>
        <n v="1.41657899999881"/>
        <n v="1.4272032000008"/>
        <n v="1.87164029999985"/>
        <n v="1.66184429999884"/>
        <n v="2.07962670000051"/>
        <n v="1.76021260000015"/>
        <n v="1.27135739999903"/>
        <n v="1.50771759999952"/>
        <n v="1.49609049999889"/>
        <n v="1.68928019999839"/>
        <n v="1.73443270000097"/>
        <n v="1.27595079999991"/>
        <n v="1.44915560000117"/>
        <n v="1.54829900000004"/>
        <n v="1.5573674999996"/>
        <n v="1.15204130000165"/>
        <n v="2.13497529999949"/>
        <n v="1.97790399999939"/>
        <n v="1.36233109999921"/>
        <n v="1.30281930000091"/>
        <n v="1.55837790000077"/>
        <n v="1.32231700000011"/>
        <n v="1.60833989999991"/>
        <n v="1.82671430000118"/>
        <n v="1.69486649999998"/>
        <n v="1.56790639999962"/>
        <n v="1.61085810000076"/>
        <n v="1.89899749999858"/>
        <n v="1.42489779999959"/>
        <n v="1.89081729999998"/>
        <n v="1.6783432000011"/>
        <n v="1.39851240000098"/>
        <n v="1.46427289999883"/>
        <n v="1.37527930000032"/>
        <n v="1.52826679999998"/>
        <n v="1.55408999999963"/>
        <n v="1.38405659999989"/>
        <n v="1.68978240000069"/>
        <n v="2.01686270000027"/>
        <n v="2.12653090000094"/>
        <n v="1.28544780000083"/>
        <n v="1.48734349999904"/>
        <n v="1.92641159999948"/>
        <n v="1.1572572999994"/>
        <n v="1.60580449999906"/>
        <n v="2.76168270000016"/>
        <n v="2.41271050000068"/>
        <n v="1.35524580000128"/>
        <n v="1.48968310000054"/>
        <n v="1.21885850000035"/>
        <n v="1.62518009999985"/>
        <n v="1.48097910000069"/>
        <n v="1.37735199999951"/>
        <n v="1.32467889999861"/>
        <n v="1.75592330000108"/>
        <n v="1.2728962000001"/>
        <n v="1.95342629999868"/>
        <n v="1.78112370000053"/>
        <n v="1.46780209999997"/>
        <n v="1.20567619999928"/>
        <n v="1.4058326000013"/>
        <n v="2.25495910000063"/>
        <n v="1.35404700000071"/>
        <n v="1.61497899999994"/>
        <n v="2.22038509999947"/>
        <n v="1.84020170000076"/>
        <n v="1.60677360000045"/>
        <n v="1.34876270000131"/>
        <n v="1.51923600000009"/>
        <n v="1.62408870000035"/>
        <n v="1.58496870000089"/>
        <n v="1.99246700000003"/>
        <n v="2.03770409999924"/>
        <n v="2.62486669999998"/>
        <n v="1.01378210000075"/>
        <n v="1.79954419999921"/>
        <n v="1.47681290000036"/>
        <n v="1.87531769999986"/>
        <n v="1.96242239999992"/>
        <n v="1.42796450000059"/>
        <n v="1.31363020000026"/>
        <n v="1.51868060000015"/>
        <n v="1.28929779999998"/>
        <n v="1.73611799999889"/>
        <n v="1.10537669999939"/>
        <n v="1.71464249999917"/>
        <n v="1.46080249999977"/>
        <n v="1.66559909999887"/>
        <n v="1.75598080000054"/>
        <n v="1.80557739999858"/>
        <n v="3.62443809999967"/>
        <n v="1.31943200000023"/>
        <n v="1.97835740000118"/>
        <n v="1.44306200000028"/>
        <n v="1.55073730000003"/>
        <n v="1.4849723999996"/>
        <n v="1.29504220000126"/>
        <n v="1.06377790000078"/>
        <n v="1.29132659999959"/>
        <n v="1.03056879999894"/>
        <n v="2.3158886000001"/>
        <n v="1.73985490000086"/>
        <n v="1.77016269999876"/>
        <n v="2.02546470000015"/>
        <n v="1.81993970000075"/>
        <n v="1.8306334000008"/>
        <n v="1.79228730000068"/>
        <n v="2.57746000000042"/>
        <n v="1.63237110000045"/>
        <n v="1.65110219999951"/>
        <n v="1.52617129999998"/>
        <n v="1.44618719999925"/>
        <n v="1.75677639999958"/>
        <n v="1.40427480000107"/>
        <n v="1.57502720000047"/>
        <n v="1.67262110000046"/>
        <n v="1.82375159999901"/>
        <n v="1.1219684999996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" cacheId="0" dataCaption="" compact="0" compactData="0">
  <location ref="A1:G5" firstHeaderRow="0" firstDataRow="1" firstDataCol="1"/>
  <pivotFields>
    <pivotField name="Participant" axis="axisCol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T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ouse.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t="default"/>
      </items>
    </pivotField>
    <pivotField name="mouse.clicked_name" compact="0" outline="0" multipleItemSelectionAllowed="1" showAll="0">
      <items>
        <item x="0"/>
        <item t="default"/>
      </items>
    </pivotField>
    <pivotField name="Distractor" axis="axisRow" compact="0" outline="0" multipleItemSelectionAllowed="1" showAll="0" sortType="ascending">
      <items>
        <item x="1"/>
        <item x="0"/>
        <item t="default"/>
      </items>
    </pivotField>
    <pivotField name="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t="default"/>
      </items>
    </pivotField>
  </pivotFields>
  <rowFields>
    <field x="4"/>
  </rowFields>
  <colFields>
    <field x="0"/>
  </colFields>
  <dataFields>
    <dataField name="AVERAGE of RT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19.25"/>
    <col customWidth="1" min="7" max="7" width="21.0"/>
    <col customWidth="1" min="8" max="8" width="18.88"/>
    <col customWidth="1" min="12" max="12" width="19.88"/>
    <col customWidth="1" min="13" max="13" width="16.63"/>
    <col customWidth="1" min="17" max="17" width="18.0"/>
    <col customWidth="1" min="18" max="18" width="17.75"/>
    <col customWidth="1" min="22" max="22" width="20.0"/>
    <col customWidth="1" min="23" max="23" width="16.5"/>
  </cols>
  <sheetData>
    <row r="1">
      <c r="A1" s="1" t="s">
        <v>0</v>
      </c>
      <c r="B1" s="2" t="s">
        <v>1</v>
      </c>
      <c r="F1" s="1" t="s">
        <v>2</v>
      </c>
      <c r="G1" s="2" t="s">
        <v>1</v>
      </c>
      <c r="K1" s="1" t="s">
        <v>3</v>
      </c>
      <c r="L1" s="2" t="s">
        <v>4</v>
      </c>
      <c r="P1" s="1" t="s">
        <v>5</v>
      </c>
      <c r="Q1" s="2" t="s">
        <v>1</v>
      </c>
      <c r="U1" s="1" t="s">
        <v>6</v>
      </c>
      <c r="V1" s="2" t="s">
        <v>7</v>
      </c>
    </row>
    <row r="3">
      <c r="A3" s="2" t="s">
        <v>8</v>
      </c>
      <c r="B3" s="2" t="s">
        <v>9</v>
      </c>
      <c r="C3" s="2" t="s">
        <v>10</v>
      </c>
      <c r="D3" s="3" t="s">
        <v>11</v>
      </c>
      <c r="F3" s="2" t="s">
        <v>8</v>
      </c>
      <c r="G3" s="2" t="s">
        <v>9</v>
      </c>
      <c r="H3" s="2" t="s">
        <v>10</v>
      </c>
      <c r="I3" s="2" t="s">
        <v>11</v>
      </c>
      <c r="K3" s="2" t="s">
        <v>8</v>
      </c>
      <c r="L3" s="2" t="s">
        <v>9</v>
      </c>
      <c r="M3" s="2" t="s">
        <v>10</v>
      </c>
      <c r="N3" s="2" t="s">
        <v>11</v>
      </c>
      <c r="P3" s="2" t="s">
        <v>8</v>
      </c>
      <c r="Q3" s="2" t="s">
        <v>9</v>
      </c>
      <c r="R3" s="2" t="s">
        <v>10</v>
      </c>
      <c r="S3" s="2" t="s">
        <v>11</v>
      </c>
      <c r="U3" s="2" t="s">
        <v>8</v>
      </c>
      <c r="V3" s="2" t="s">
        <v>9</v>
      </c>
      <c r="W3" s="2" t="s">
        <v>10</v>
      </c>
      <c r="X3" s="2" t="s">
        <v>11</v>
      </c>
    </row>
    <row r="4">
      <c r="A4" s="2">
        <v>0.0</v>
      </c>
      <c r="B4" s="2" t="s">
        <v>12</v>
      </c>
      <c r="C4" s="2" t="s">
        <v>13</v>
      </c>
      <c r="D4" s="4">
        <v>10.0</v>
      </c>
      <c r="F4" s="2">
        <v>0.0</v>
      </c>
      <c r="G4" s="2" t="s">
        <v>14</v>
      </c>
      <c r="H4" s="2" t="s">
        <v>13</v>
      </c>
      <c r="I4" s="2">
        <v>5.0</v>
      </c>
      <c r="K4" s="2">
        <v>0.0</v>
      </c>
      <c r="L4" s="2" t="s">
        <v>15</v>
      </c>
      <c r="M4" s="2" t="s">
        <v>13</v>
      </c>
      <c r="N4" s="2">
        <v>10.0</v>
      </c>
      <c r="P4" s="2">
        <v>0.0</v>
      </c>
      <c r="Q4" s="2" t="s">
        <v>16</v>
      </c>
      <c r="R4" s="2" t="s">
        <v>17</v>
      </c>
      <c r="S4" s="2">
        <v>10.0</v>
      </c>
      <c r="U4" s="2">
        <v>0.0</v>
      </c>
      <c r="V4" s="2" t="s">
        <v>18</v>
      </c>
      <c r="W4" s="2" t="s">
        <v>17</v>
      </c>
      <c r="X4" s="2">
        <v>10.0</v>
      </c>
    </row>
    <row r="5">
      <c r="A5" s="2">
        <v>1.0</v>
      </c>
      <c r="B5" s="2" t="s">
        <v>19</v>
      </c>
      <c r="C5" s="2" t="s">
        <v>13</v>
      </c>
      <c r="D5" s="4">
        <v>10.0</v>
      </c>
      <c r="F5" s="2">
        <v>1.0</v>
      </c>
      <c r="G5" s="2" t="s">
        <v>20</v>
      </c>
      <c r="H5" s="2" t="s">
        <v>13</v>
      </c>
      <c r="I5" s="2">
        <v>5.0</v>
      </c>
      <c r="K5" s="2">
        <v>1.0</v>
      </c>
      <c r="L5" s="2" t="s">
        <v>21</v>
      </c>
      <c r="M5" s="2" t="s">
        <v>13</v>
      </c>
      <c r="N5" s="2">
        <v>10.0</v>
      </c>
      <c r="P5" s="2">
        <v>1.0</v>
      </c>
      <c r="Q5" s="2" t="s">
        <v>22</v>
      </c>
      <c r="R5" s="2" t="s">
        <v>17</v>
      </c>
      <c r="S5" s="2">
        <v>5.0</v>
      </c>
      <c r="U5" s="2">
        <v>1.0</v>
      </c>
      <c r="V5" s="2" t="s">
        <v>23</v>
      </c>
      <c r="W5" s="2" t="s">
        <v>17</v>
      </c>
      <c r="X5" s="2">
        <v>10.0</v>
      </c>
    </row>
    <row r="6">
      <c r="A6" s="2">
        <v>2.0</v>
      </c>
      <c r="B6" s="2" t="s">
        <v>24</v>
      </c>
      <c r="C6" s="2" t="s">
        <v>13</v>
      </c>
      <c r="D6" s="4">
        <v>5.0</v>
      </c>
      <c r="F6" s="2">
        <v>2.0</v>
      </c>
      <c r="G6" s="2" t="s">
        <v>25</v>
      </c>
      <c r="H6" s="2" t="s">
        <v>13</v>
      </c>
      <c r="I6" s="2">
        <v>5.0</v>
      </c>
      <c r="K6" s="2">
        <v>2.0</v>
      </c>
      <c r="L6" s="2" t="s">
        <v>26</v>
      </c>
      <c r="M6" s="2" t="s">
        <v>13</v>
      </c>
      <c r="N6" s="2">
        <v>10.0</v>
      </c>
      <c r="P6" s="2">
        <v>2.0</v>
      </c>
      <c r="Q6" s="2" t="s">
        <v>27</v>
      </c>
      <c r="R6" s="2" t="s">
        <v>17</v>
      </c>
      <c r="S6" s="2">
        <v>10.0</v>
      </c>
      <c r="U6" s="2">
        <v>2.0</v>
      </c>
      <c r="V6" s="2" t="s">
        <v>28</v>
      </c>
      <c r="W6" s="2" t="s">
        <v>17</v>
      </c>
      <c r="X6" s="2">
        <v>5.0</v>
      </c>
    </row>
    <row r="7">
      <c r="A7" s="2">
        <v>3.0</v>
      </c>
      <c r="B7" s="2" t="s">
        <v>29</v>
      </c>
      <c r="C7" s="2" t="s">
        <v>13</v>
      </c>
      <c r="D7" s="4">
        <v>5.0</v>
      </c>
      <c r="F7" s="2">
        <v>3.0</v>
      </c>
      <c r="G7" s="2" t="s">
        <v>30</v>
      </c>
      <c r="H7" s="2" t="s">
        <v>13</v>
      </c>
      <c r="I7" s="2">
        <v>10.0</v>
      </c>
      <c r="K7" s="2">
        <v>3.0</v>
      </c>
      <c r="L7" s="2" t="s">
        <v>31</v>
      </c>
      <c r="M7" s="2" t="s">
        <v>13</v>
      </c>
      <c r="N7" s="2">
        <v>10.0</v>
      </c>
      <c r="P7" s="2">
        <v>3.0</v>
      </c>
      <c r="Q7" s="2" t="s">
        <v>32</v>
      </c>
      <c r="R7" s="2" t="s">
        <v>17</v>
      </c>
      <c r="S7" s="2">
        <v>10.0</v>
      </c>
      <c r="U7" s="2">
        <v>3.0</v>
      </c>
      <c r="V7" s="2" t="s">
        <v>33</v>
      </c>
      <c r="W7" s="2" t="s">
        <v>17</v>
      </c>
      <c r="X7" s="2">
        <v>5.0</v>
      </c>
    </row>
    <row r="8">
      <c r="A8" s="2">
        <v>4.0</v>
      </c>
      <c r="B8" s="2" t="s">
        <v>34</v>
      </c>
      <c r="C8" s="2" t="s">
        <v>13</v>
      </c>
      <c r="D8" s="4">
        <v>10.0</v>
      </c>
      <c r="F8" s="2">
        <v>4.0</v>
      </c>
      <c r="G8" s="2" t="s">
        <v>35</v>
      </c>
      <c r="H8" s="2" t="s">
        <v>13</v>
      </c>
      <c r="I8" s="2">
        <v>5.0</v>
      </c>
      <c r="K8" s="2">
        <v>4.0</v>
      </c>
      <c r="L8" s="2" t="s">
        <v>36</v>
      </c>
      <c r="M8" s="2" t="s">
        <v>13</v>
      </c>
      <c r="N8" s="2">
        <v>10.0</v>
      </c>
      <c r="P8" s="2">
        <v>4.0</v>
      </c>
      <c r="Q8" s="2" t="s">
        <v>37</v>
      </c>
      <c r="R8" s="2" t="s">
        <v>17</v>
      </c>
      <c r="S8" s="2">
        <v>10.0</v>
      </c>
      <c r="U8" s="2">
        <v>4.0</v>
      </c>
      <c r="V8" s="2" t="s">
        <v>38</v>
      </c>
      <c r="W8" s="2" t="s">
        <v>17</v>
      </c>
      <c r="X8" s="2">
        <v>10.0</v>
      </c>
    </row>
    <row r="9">
      <c r="A9" s="2">
        <v>5.0</v>
      </c>
      <c r="B9" s="2" t="s">
        <v>39</v>
      </c>
      <c r="C9" s="2" t="s">
        <v>13</v>
      </c>
      <c r="D9" s="4">
        <v>5.0</v>
      </c>
      <c r="F9" s="2">
        <v>5.0</v>
      </c>
      <c r="G9" s="2" t="s">
        <v>40</v>
      </c>
      <c r="H9" s="2" t="s">
        <v>13</v>
      </c>
      <c r="I9" s="2">
        <v>5.0</v>
      </c>
      <c r="K9" s="2">
        <v>5.0</v>
      </c>
      <c r="L9" s="2" t="s">
        <v>41</v>
      </c>
      <c r="M9" s="2" t="s">
        <v>13</v>
      </c>
      <c r="N9" s="2">
        <v>10.0</v>
      </c>
      <c r="P9" s="2">
        <v>5.0</v>
      </c>
      <c r="Q9" s="2" t="s">
        <v>42</v>
      </c>
      <c r="R9" s="2" t="s">
        <v>17</v>
      </c>
      <c r="S9" s="2">
        <v>10.0</v>
      </c>
      <c r="U9" s="2">
        <v>5.0</v>
      </c>
      <c r="V9" s="2" t="s">
        <v>43</v>
      </c>
      <c r="W9" s="2" t="s">
        <v>17</v>
      </c>
      <c r="X9" s="2">
        <v>5.0</v>
      </c>
    </row>
    <row r="10">
      <c r="A10" s="2">
        <v>6.0</v>
      </c>
      <c r="B10" s="2" t="s">
        <v>44</v>
      </c>
      <c r="C10" s="2" t="s">
        <v>13</v>
      </c>
      <c r="D10" s="4">
        <v>5.0</v>
      </c>
      <c r="F10" s="2">
        <v>6.0</v>
      </c>
      <c r="G10" s="2" t="s">
        <v>45</v>
      </c>
      <c r="H10" s="2" t="s">
        <v>13</v>
      </c>
      <c r="I10" s="2">
        <v>10.0</v>
      </c>
      <c r="K10" s="2">
        <v>6.0</v>
      </c>
      <c r="L10" s="2" t="s">
        <v>46</v>
      </c>
      <c r="M10" s="2" t="s">
        <v>13</v>
      </c>
      <c r="N10" s="2">
        <v>5.0</v>
      </c>
      <c r="P10" s="2">
        <v>6.0</v>
      </c>
      <c r="Q10" s="2" t="s">
        <v>47</v>
      </c>
      <c r="R10" s="2" t="s">
        <v>17</v>
      </c>
      <c r="S10" s="2">
        <v>5.0</v>
      </c>
      <c r="U10" s="2">
        <v>6.0</v>
      </c>
      <c r="V10" s="2" t="s">
        <v>48</v>
      </c>
      <c r="W10" s="2" t="s">
        <v>17</v>
      </c>
      <c r="X10" s="2">
        <v>5.0</v>
      </c>
    </row>
    <row r="11">
      <c r="A11" s="2">
        <v>7.0</v>
      </c>
      <c r="B11" s="2" t="s">
        <v>49</v>
      </c>
      <c r="C11" s="2" t="s">
        <v>13</v>
      </c>
      <c r="D11" s="4">
        <v>10.0</v>
      </c>
      <c r="F11" s="2">
        <v>7.0</v>
      </c>
      <c r="G11" s="2" t="s">
        <v>50</v>
      </c>
      <c r="H11" s="2" t="s">
        <v>13</v>
      </c>
      <c r="I11" s="2">
        <v>10.0</v>
      </c>
      <c r="K11" s="2">
        <v>7.0</v>
      </c>
      <c r="L11" s="2" t="s">
        <v>51</v>
      </c>
      <c r="M11" s="2" t="s">
        <v>13</v>
      </c>
      <c r="N11" s="2">
        <v>5.0</v>
      </c>
      <c r="P11" s="2">
        <v>7.0</v>
      </c>
      <c r="Q11" s="2" t="s">
        <v>52</v>
      </c>
      <c r="R11" s="2" t="s">
        <v>17</v>
      </c>
      <c r="S11" s="2">
        <v>5.0</v>
      </c>
      <c r="U11" s="2">
        <v>7.0</v>
      </c>
      <c r="V11" s="2" t="s">
        <v>53</v>
      </c>
      <c r="W11" s="2" t="s">
        <v>17</v>
      </c>
      <c r="X11" s="2">
        <v>10.0</v>
      </c>
    </row>
    <row r="12">
      <c r="A12" s="2">
        <v>8.0</v>
      </c>
      <c r="B12" s="2" t="s">
        <v>54</v>
      </c>
      <c r="C12" s="2" t="s">
        <v>13</v>
      </c>
      <c r="D12" s="4">
        <v>10.0</v>
      </c>
      <c r="F12" s="2">
        <v>8.0</v>
      </c>
      <c r="G12" s="2" t="s">
        <v>55</v>
      </c>
      <c r="H12" s="2" t="s">
        <v>13</v>
      </c>
      <c r="I12" s="2">
        <v>5.0</v>
      </c>
      <c r="K12" s="2">
        <v>8.0</v>
      </c>
      <c r="L12" s="2" t="s">
        <v>56</v>
      </c>
      <c r="M12" s="2" t="s">
        <v>13</v>
      </c>
      <c r="N12" s="2">
        <v>5.0</v>
      </c>
      <c r="P12" s="2">
        <v>8.0</v>
      </c>
      <c r="Q12" s="2" t="s">
        <v>57</v>
      </c>
      <c r="R12" s="2" t="s">
        <v>17</v>
      </c>
      <c r="S12" s="2">
        <v>5.0</v>
      </c>
      <c r="U12" s="2">
        <v>8.0</v>
      </c>
      <c r="V12" s="2" t="s">
        <v>58</v>
      </c>
      <c r="W12" s="2" t="s">
        <v>17</v>
      </c>
      <c r="X12" s="2">
        <v>5.0</v>
      </c>
    </row>
    <row r="13">
      <c r="A13" s="2">
        <v>9.0</v>
      </c>
      <c r="B13" s="2" t="s">
        <v>59</v>
      </c>
      <c r="C13" s="2" t="s">
        <v>13</v>
      </c>
      <c r="D13" s="4">
        <v>10.0</v>
      </c>
      <c r="F13" s="2">
        <v>9.0</v>
      </c>
      <c r="G13" s="2" t="s">
        <v>60</v>
      </c>
      <c r="H13" s="2" t="s">
        <v>13</v>
      </c>
      <c r="I13" s="2">
        <v>10.0</v>
      </c>
      <c r="K13" s="2">
        <v>9.0</v>
      </c>
      <c r="L13" s="2" t="s">
        <v>61</v>
      </c>
      <c r="M13" s="2" t="s">
        <v>13</v>
      </c>
      <c r="N13" s="2">
        <v>10.0</v>
      </c>
      <c r="P13" s="2">
        <v>9.0</v>
      </c>
      <c r="Q13" s="2" t="s">
        <v>62</v>
      </c>
      <c r="R13" s="2" t="s">
        <v>17</v>
      </c>
      <c r="S13" s="2">
        <v>10.0</v>
      </c>
      <c r="U13" s="2">
        <v>9.0</v>
      </c>
      <c r="V13" s="2" t="s">
        <v>63</v>
      </c>
      <c r="W13" s="2" t="s">
        <v>17</v>
      </c>
      <c r="X13" s="2">
        <v>5.0</v>
      </c>
    </row>
    <row r="14">
      <c r="A14" s="2">
        <v>10.0</v>
      </c>
      <c r="B14" s="2" t="s">
        <v>64</v>
      </c>
      <c r="C14" s="2" t="s">
        <v>13</v>
      </c>
      <c r="D14" s="4">
        <v>10.0</v>
      </c>
      <c r="F14" s="2">
        <v>10.0</v>
      </c>
      <c r="G14" s="2" t="s">
        <v>65</v>
      </c>
      <c r="H14" s="2" t="s">
        <v>13</v>
      </c>
      <c r="I14" s="2">
        <v>10.0</v>
      </c>
      <c r="K14" s="2">
        <v>10.0</v>
      </c>
      <c r="L14" s="2" t="s">
        <v>66</v>
      </c>
      <c r="M14" s="2" t="s">
        <v>13</v>
      </c>
      <c r="N14" s="2">
        <v>10.0</v>
      </c>
      <c r="P14" s="2">
        <v>10.0</v>
      </c>
      <c r="Q14" s="2" t="s">
        <v>67</v>
      </c>
      <c r="R14" s="2" t="s">
        <v>17</v>
      </c>
      <c r="S14" s="2">
        <v>5.0</v>
      </c>
      <c r="U14" s="2">
        <v>10.0</v>
      </c>
      <c r="V14" s="2" t="s">
        <v>68</v>
      </c>
      <c r="W14" s="2" t="s">
        <v>17</v>
      </c>
      <c r="X14" s="2">
        <v>10.0</v>
      </c>
    </row>
    <row r="15">
      <c r="A15" s="2">
        <v>11.0</v>
      </c>
      <c r="B15" s="2" t="s">
        <v>69</v>
      </c>
      <c r="C15" s="2" t="s">
        <v>13</v>
      </c>
      <c r="D15" s="4">
        <v>5.0</v>
      </c>
      <c r="F15" s="2">
        <v>11.0</v>
      </c>
      <c r="G15" s="2" t="s">
        <v>70</v>
      </c>
      <c r="H15" s="2" t="s">
        <v>13</v>
      </c>
      <c r="I15" s="2">
        <v>10.0</v>
      </c>
      <c r="K15" s="2">
        <v>11.0</v>
      </c>
      <c r="L15" s="2" t="s">
        <v>71</v>
      </c>
      <c r="M15" s="2" t="s">
        <v>13</v>
      </c>
      <c r="N15" s="2">
        <v>5.0</v>
      </c>
      <c r="P15" s="2">
        <v>11.0</v>
      </c>
      <c r="Q15" s="2" t="s">
        <v>72</v>
      </c>
      <c r="R15" s="2" t="s">
        <v>17</v>
      </c>
      <c r="S15" s="2">
        <v>5.0</v>
      </c>
      <c r="U15" s="2">
        <v>11.0</v>
      </c>
      <c r="V15" s="2" t="s">
        <v>73</v>
      </c>
      <c r="W15" s="2" t="s">
        <v>17</v>
      </c>
      <c r="X15" s="2">
        <v>5.0</v>
      </c>
    </row>
    <row r="16">
      <c r="D16" s="3"/>
      <c r="F16" s="2">
        <v>12.0</v>
      </c>
      <c r="G16" s="2" t="s">
        <v>74</v>
      </c>
      <c r="H16" s="2" t="s">
        <v>13</v>
      </c>
      <c r="I16" s="2">
        <v>10.0</v>
      </c>
      <c r="K16" s="2">
        <v>12.0</v>
      </c>
      <c r="L16" s="2" t="s">
        <v>75</v>
      </c>
      <c r="M16" s="2" t="s">
        <v>13</v>
      </c>
      <c r="N16" s="2">
        <v>5.0</v>
      </c>
      <c r="P16" s="2">
        <v>12.0</v>
      </c>
      <c r="Q16" s="2" t="s">
        <v>76</v>
      </c>
      <c r="R16" s="2" t="s">
        <v>17</v>
      </c>
      <c r="S16" s="2">
        <v>10.0</v>
      </c>
      <c r="U16" s="2">
        <v>12.0</v>
      </c>
      <c r="V16" s="2" t="s">
        <v>77</v>
      </c>
      <c r="W16" s="2" t="s">
        <v>17</v>
      </c>
      <c r="X16" s="2">
        <v>10.0</v>
      </c>
    </row>
    <row r="17">
      <c r="A17" s="2">
        <v>13.0</v>
      </c>
      <c r="B17" s="2" t="s">
        <v>78</v>
      </c>
      <c r="C17" s="2" t="s">
        <v>13</v>
      </c>
      <c r="D17" s="4">
        <v>5.0</v>
      </c>
      <c r="F17" s="2">
        <v>13.0</v>
      </c>
      <c r="G17" s="2" t="s">
        <v>79</v>
      </c>
      <c r="H17" s="2" t="s">
        <v>13</v>
      </c>
      <c r="I17" s="2">
        <v>10.0</v>
      </c>
      <c r="K17" s="2">
        <v>13.0</v>
      </c>
      <c r="L17" s="2" t="s">
        <v>80</v>
      </c>
      <c r="M17" s="2" t="s">
        <v>13</v>
      </c>
      <c r="N17" s="2">
        <v>10.0</v>
      </c>
      <c r="P17" s="2">
        <v>13.0</v>
      </c>
      <c r="Q17" s="2" t="s">
        <v>81</v>
      </c>
      <c r="R17" s="2" t="s">
        <v>17</v>
      </c>
      <c r="S17" s="2">
        <v>5.0</v>
      </c>
      <c r="U17" s="2">
        <v>13.0</v>
      </c>
      <c r="V17" s="2" t="s">
        <v>82</v>
      </c>
      <c r="W17" s="2" t="s">
        <v>17</v>
      </c>
      <c r="X17" s="2">
        <v>10.0</v>
      </c>
    </row>
    <row r="18">
      <c r="A18" s="2">
        <v>14.0</v>
      </c>
      <c r="B18" s="2" t="s">
        <v>83</v>
      </c>
      <c r="C18" s="2" t="s">
        <v>13</v>
      </c>
      <c r="D18" s="4">
        <v>5.0</v>
      </c>
      <c r="F18" s="2">
        <v>14.0</v>
      </c>
      <c r="G18" s="2" t="s">
        <v>84</v>
      </c>
      <c r="H18" s="2" t="s">
        <v>13</v>
      </c>
      <c r="I18" s="2">
        <v>10.0</v>
      </c>
      <c r="K18" s="2">
        <v>14.0</v>
      </c>
      <c r="L18" s="2" t="s">
        <v>85</v>
      </c>
      <c r="M18" s="2" t="s">
        <v>13</v>
      </c>
      <c r="N18" s="2">
        <v>10.0</v>
      </c>
      <c r="P18" s="2">
        <v>14.0</v>
      </c>
      <c r="Q18" s="2" t="s">
        <v>86</v>
      </c>
      <c r="R18" s="2" t="s">
        <v>17</v>
      </c>
      <c r="S18" s="2">
        <v>5.0</v>
      </c>
      <c r="U18" s="2">
        <v>14.0</v>
      </c>
      <c r="V18" s="2" t="s">
        <v>87</v>
      </c>
      <c r="W18" s="2" t="s">
        <v>17</v>
      </c>
      <c r="X18" s="2">
        <v>5.0</v>
      </c>
    </row>
    <row r="19">
      <c r="A19" s="2">
        <v>15.0</v>
      </c>
      <c r="B19" s="2" t="s">
        <v>88</v>
      </c>
      <c r="C19" s="2" t="s">
        <v>13</v>
      </c>
      <c r="D19" s="4">
        <v>5.0</v>
      </c>
      <c r="F19" s="2">
        <v>15.0</v>
      </c>
      <c r="G19" s="2" t="s">
        <v>89</v>
      </c>
      <c r="H19" s="2" t="s">
        <v>13</v>
      </c>
      <c r="I19" s="2">
        <v>10.0</v>
      </c>
      <c r="K19" s="2">
        <v>15.0</v>
      </c>
      <c r="L19" s="2" t="s">
        <v>90</v>
      </c>
      <c r="M19" s="2" t="s">
        <v>13</v>
      </c>
      <c r="N19" s="2">
        <v>10.0</v>
      </c>
      <c r="P19" s="2">
        <v>15.0</v>
      </c>
      <c r="Q19" s="2" t="s">
        <v>91</v>
      </c>
      <c r="R19" s="2" t="s">
        <v>17</v>
      </c>
      <c r="S19" s="2">
        <v>10.0</v>
      </c>
      <c r="U19" s="2">
        <v>15.0</v>
      </c>
      <c r="V19" s="2" t="s">
        <v>92</v>
      </c>
      <c r="W19" s="2" t="s">
        <v>17</v>
      </c>
      <c r="X19" s="2">
        <v>10.0</v>
      </c>
    </row>
    <row r="20">
      <c r="A20" s="2">
        <v>16.0</v>
      </c>
      <c r="B20" s="2" t="s">
        <v>93</v>
      </c>
      <c r="C20" s="2" t="s">
        <v>13</v>
      </c>
      <c r="D20" s="4">
        <v>10.0</v>
      </c>
      <c r="F20" s="2">
        <v>16.0</v>
      </c>
      <c r="G20" s="2" t="s">
        <v>94</v>
      </c>
      <c r="H20" s="2" t="s">
        <v>13</v>
      </c>
      <c r="I20" s="2">
        <v>5.0</v>
      </c>
      <c r="K20" s="2">
        <v>16.0</v>
      </c>
      <c r="L20" s="2" t="s">
        <v>95</v>
      </c>
      <c r="M20" s="2" t="s">
        <v>13</v>
      </c>
      <c r="N20" s="2">
        <v>10.0</v>
      </c>
      <c r="P20" s="2">
        <v>16.0</v>
      </c>
      <c r="Q20" s="2" t="s">
        <v>96</v>
      </c>
      <c r="R20" s="2" t="s">
        <v>17</v>
      </c>
      <c r="S20" s="2">
        <v>10.0</v>
      </c>
      <c r="U20" s="2">
        <v>16.0</v>
      </c>
      <c r="V20" s="2" t="s">
        <v>97</v>
      </c>
      <c r="W20" s="2" t="s">
        <v>17</v>
      </c>
      <c r="X20" s="2">
        <v>5.0</v>
      </c>
    </row>
    <row r="21">
      <c r="D21" s="4"/>
      <c r="F21" s="2">
        <v>17.0</v>
      </c>
      <c r="G21" s="2" t="s">
        <v>98</v>
      </c>
      <c r="H21" s="2" t="s">
        <v>13</v>
      </c>
      <c r="I21" s="2">
        <v>5.0</v>
      </c>
      <c r="K21" s="2">
        <v>17.0</v>
      </c>
      <c r="L21" s="2" t="s">
        <v>99</v>
      </c>
      <c r="M21" s="2" t="s">
        <v>13</v>
      </c>
      <c r="N21" s="2">
        <v>5.0</v>
      </c>
      <c r="P21" s="2">
        <v>17.0</v>
      </c>
      <c r="Q21" s="2" t="s">
        <v>100</v>
      </c>
      <c r="R21" s="2" t="s">
        <v>17</v>
      </c>
      <c r="S21" s="2">
        <v>5.0</v>
      </c>
      <c r="U21" s="2">
        <v>17.0</v>
      </c>
      <c r="V21" s="2" t="s">
        <v>101</v>
      </c>
      <c r="W21" s="2" t="s">
        <v>17</v>
      </c>
      <c r="X21" s="2">
        <v>5.0</v>
      </c>
    </row>
    <row r="22">
      <c r="A22" s="2">
        <v>18.0</v>
      </c>
      <c r="B22" s="2" t="s">
        <v>102</v>
      </c>
      <c r="C22" s="2" t="s">
        <v>13</v>
      </c>
      <c r="D22" s="4">
        <v>5.0</v>
      </c>
      <c r="F22" s="2">
        <v>18.0</v>
      </c>
      <c r="G22" s="2" t="s">
        <v>103</v>
      </c>
      <c r="H22" s="2" t="s">
        <v>13</v>
      </c>
      <c r="I22" s="2">
        <v>10.0</v>
      </c>
      <c r="K22" s="2">
        <v>18.0</v>
      </c>
      <c r="L22" s="2" t="s">
        <v>104</v>
      </c>
      <c r="M22" s="2" t="s">
        <v>13</v>
      </c>
      <c r="N22" s="2">
        <v>5.0</v>
      </c>
      <c r="P22" s="2">
        <v>18.0</v>
      </c>
      <c r="Q22" s="2" t="s">
        <v>105</v>
      </c>
      <c r="R22" s="2" t="s">
        <v>17</v>
      </c>
      <c r="S22" s="2">
        <v>10.0</v>
      </c>
      <c r="U22" s="2">
        <v>18.0</v>
      </c>
      <c r="V22" s="2" t="s">
        <v>106</v>
      </c>
      <c r="W22" s="2" t="s">
        <v>17</v>
      </c>
      <c r="X22" s="2">
        <v>10.0</v>
      </c>
    </row>
    <row r="23">
      <c r="A23" s="2">
        <v>19.0</v>
      </c>
      <c r="B23" s="2" t="s">
        <v>107</v>
      </c>
      <c r="C23" s="2" t="s">
        <v>13</v>
      </c>
      <c r="D23" s="4">
        <v>5.0</v>
      </c>
      <c r="F23" s="2">
        <v>19.0</v>
      </c>
      <c r="G23" s="2" t="s">
        <v>108</v>
      </c>
      <c r="H23" s="2" t="s">
        <v>13</v>
      </c>
      <c r="I23" s="2">
        <v>10.0</v>
      </c>
      <c r="K23" s="2">
        <v>19.0</v>
      </c>
      <c r="L23" s="2" t="s">
        <v>109</v>
      </c>
      <c r="M23" s="2" t="s">
        <v>13</v>
      </c>
      <c r="N23" s="2">
        <v>10.0</v>
      </c>
      <c r="P23" s="2">
        <v>19.0</v>
      </c>
      <c r="Q23" s="2" t="s">
        <v>110</v>
      </c>
      <c r="R23" s="2" t="s">
        <v>17</v>
      </c>
      <c r="S23" s="2">
        <v>5.0</v>
      </c>
      <c r="U23" s="2">
        <v>19.0</v>
      </c>
      <c r="V23" s="2" t="s">
        <v>111</v>
      </c>
      <c r="W23" s="2" t="s">
        <v>17</v>
      </c>
      <c r="X23" s="2">
        <v>10.0</v>
      </c>
    </row>
    <row r="24">
      <c r="A24" s="2">
        <v>20.0</v>
      </c>
      <c r="B24" s="2" t="s">
        <v>112</v>
      </c>
      <c r="C24" s="2" t="s">
        <v>13</v>
      </c>
      <c r="D24" s="4">
        <v>5.0</v>
      </c>
      <c r="F24" s="2">
        <v>20.0</v>
      </c>
      <c r="G24" s="2" t="s">
        <v>113</v>
      </c>
      <c r="H24" s="2" t="s">
        <v>13</v>
      </c>
      <c r="I24" s="2">
        <v>5.0</v>
      </c>
      <c r="K24" s="2">
        <v>20.0</v>
      </c>
      <c r="L24" s="2" t="s">
        <v>114</v>
      </c>
      <c r="M24" s="2" t="s">
        <v>13</v>
      </c>
      <c r="N24" s="2">
        <v>5.0</v>
      </c>
      <c r="P24" s="2">
        <v>20.0</v>
      </c>
      <c r="Q24" s="2" t="s">
        <v>115</v>
      </c>
      <c r="R24" s="2" t="s">
        <v>17</v>
      </c>
      <c r="S24" s="2">
        <v>5.0</v>
      </c>
      <c r="U24" s="2">
        <v>20.0</v>
      </c>
      <c r="V24" s="2" t="s">
        <v>116</v>
      </c>
      <c r="W24" s="2" t="s">
        <v>17</v>
      </c>
      <c r="X24" s="2">
        <v>10.0</v>
      </c>
    </row>
    <row r="25">
      <c r="A25" s="2">
        <v>21.0</v>
      </c>
      <c r="B25" s="2" t="s">
        <v>117</v>
      </c>
      <c r="C25" s="2" t="s">
        <v>13</v>
      </c>
      <c r="D25" s="4">
        <v>5.0</v>
      </c>
      <c r="F25" s="2">
        <v>21.0</v>
      </c>
      <c r="G25" s="2" t="s">
        <v>118</v>
      </c>
      <c r="H25" s="2" t="s">
        <v>13</v>
      </c>
      <c r="I25" s="2">
        <v>5.0</v>
      </c>
      <c r="K25" s="2">
        <v>21.0</v>
      </c>
      <c r="L25" s="2" t="s">
        <v>119</v>
      </c>
      <c r="M25" s="2" t="s">
        <v>13</v>
      </c>
      <c r="N25" s="2">
        <v>5.0</v>
      </c>
      <c r="P25" s="2">
        <v>21.0</v>
      </c>
      <c r="Q25" s="2" t="s">
        <v>120</v>
      </c>
      <c r="R25" s="2" t="s">
        <v>17</v>
      </c>
      <c r="S25" s="2">
        <v>5.0</v>
      </c>
      <c r="U25" s="2">
        <v>21.0</v>
      </c>
      <c r="V25" s="2" t="s">
        <v>121</v>
      </c>
      <c r="W25" s="2" t="s">
        <v>17</v>
      </c>
      <c r="X25" s="2">
        <v>10.0</v>
      </c>
    </row>
    <row r="26">
      <c r="A26" s="2">
        <v>22.0</v>
      </c>
      <c r="B26" s="2" t="s">
        <v>122</v>
      </c>
      <c r="C26" s="2" t="s">
        <v>13</v>
      </c>
      <c r="D26" s="4">
        <v>5.0</v>
      </c>
      <c r="F26" s="2">
        <v>22.0</v>
      </c>
      <c r="G26" s="2" t="s">
        <v>123</v>
      </c>
      <c r="H26" s="2" t="s">
        <v>13</v>
      </c>
      <c r="I26" s="2">
        <v>10.0</v>
      </c>
      <c r="K26" s="2">
        <v>22.0</v>
      </c>
      <c r="L26" s="2" t="s">
        <v>124</v>
      </c>
      <c r="M26" s="2" t="s">
        <v>13</v>
      </c>
      <c r="N26" s="2">
        <v>10.0</v>
      </c>
      <c r="P26" s="2">
        <v>22.0</v>
      </c>
      <c r="Q26" s="2" t="s">
        <v>125</v>
      </c>
      <c r="R26" s="2" t="s">
        <v>17</v>
      </c>
      <c r="S26" s="2">
        <v>10.0</v>
      </c>
      <c r="U26" s="2">
        <v>22.0</v>
      </c>
      <c r="V26" s="2" t="s">
        <v>126</v>
      </c>
      <c r="W26" s="2" t="s">
        <v>17</v>
      </c>
      <c r="X26" s="2">
        <v>10.0</v>
      </c>
    </row>
    <row r="27">
      <c r="D27" s="4"/>
      <c r="F27" s="2">
        <v>23.0</v>
      </c>
      <c r="G27" s="2" t="s">
        <v>127</v>
      </c>
      <c r="H27" s="2" t="s">
        <v>13</v>
      </c>
      <c r="I27" s="2">
        <v>10.0</v>
      </c>
      <c r="K27" s="2">
        <v>23.0</v>
      </c>
      <c r="L27" s="2" t="s">
        <v>128</v>
      </c>
      <c r="M27" s="2" t="s">
        <v>13</v>
      </c>
      <c r="N27" s="2">
        <v>5.0</v>
      </c>
      <c r="P27" s="2">
        <v>23.0</v>
      </c>
      <c r="Q27" s="2" t="s">
        <v>129</v>
      </c>
      <c r="R27" s="2" t="s">
        <v>17</v>
      </c>
      <c r="S27" s="2">
        <v>10.0</v>
      </c>
      <c r="U27" s="2">
        <v>23.0</v>
      </c>
      <c r="V27" s="2" t="s">
        <v>130</v>
      </c>
      <c r="W27" s="2" t="s">
        <v>17</v>
      </c>
      <c r="X27" s="2">
        <v>5.0</v>
      </c>
    </row>
    <row r="28">
      <c r="A28" s="2">
        <v>24.0</v>
      </c>
      <c r="B28" s="2" t="s">
        <v>131</v>
      </c>
      <c r="C28" s="2" t="s">
        <v>13</v>
      </c>
      <c r="D28" s="4">
        <v>5.0</v>
      </c>
      <c r="F28" s="2">
        <v>24.0</v>
      </c>
      <c r="G28" s="2" t="s">
        <v>132</v>
      </c>
      <c r="H28" s="2" t="s">
        <v>13</v>
      </c>
      <c r="I28" s="2">
        <v>10.0</v>
      </c>
      <c r="K28" s="2">
        <v>24.0</v>
      </c>
      <c r="L28" s="2" t="s">
        <v>133</v>
      </c>
      <c r="M28" s="2" t="s">
        <v>13</v>
      </c>
      <c r="N28" s="2">
        <v>5.0</v>
      </c>
      <c r="P28" s="2">
        <v>24.0</v>
      </c>
      <c r="Q28" s="2" t="s">
        <v>134</v>
      </c>
      <c r="R28" s="2" t="s">
        <v>17</v>
      </c>
      <c r="S28" s="2">
        <v>5.0</v>
      </c>
      <c r="U28" s="2">
        <v>24.0</v>
      </c>
      <c r="V28" s="2" t="s">
        <v>135</v>
      </c>
      <c r="W28" s="2" t="s">
        <v>17</v>
      </c>
      <c r="X28" s="2">
        <v>10.0</v>
      </c>
    </row>
    <row r="29">
      <c r="A29" s="2">
        <v>25.0</v>
      </c>
      <c r="B29" s="2" t="s">
        <v>136</v>
      </c>
      <c r="C29" s="2" t="s">
        <v>13</v>
      </c>
      <c r="D29" s="3">
        <v>10.0</v>
      </c>
      <c r="F29" s="2">
        <v>25.0</v>
      </c>
      <c r="G29" s="2" t="s">
        <v>137</v>
      </c>
      <c r="H29" s="2" t="s">
        <v>13</v>
      </c>
      <c r="I29" s="2">
        <v>10.0</v>
      </c>
      <c r="K29" s="2">
        <v>25.0</v>
      </c>
      <c r="L29" s="2" t="s">
        <v>138</v>
      </c>
      <c r="M29" s="2" t="s">
        <v>13</v>
      </c>
      <c r="N29" s="2">
        <v>5.0</v>
      </c>
      <c r="P29" s="2">
        <v>25.0</v>
      </c>
      <c r="Q29" s="2" t="s">
        <v>139</v>
      </c>
      <c r="R29" s="2" t="s">
        <v>17</v>
      </c>
      <c r="S29" s="2">
        <v>5.0</v>
      </c>
      <c r="U29" s="2">
        <v>25.0</v>
      </c>
      <c r="V29" s="2" t="s">
        <v>140</v>
      </c>
      <c r="W29" s="2" t="s">
        <v>17</v>
      </c>
      <c r="X29" s="2">
        <v>10.0</v>
      </c>
    </row>
    <row r="30">
      <c r="A30" s="2">
        <v>26.0</v>
      </c>
      <c r="B30" s="2" t="s">
        <v>141</v>
      </c>
      <c r="C30" s="2" t="s">
        <v>13</v>
      </c>
      <c r="D30" s="4">
        <v>10.0</v>
      </c>
      <c r="F30" s="2">
        <v>26.0</v>
      </c>
      <c r="G30" s="2" t="s">
        <v>142</v>
      </c>
      <c r="H30" s="2" t="s">
        <v>13</v>
      </c>
      <c r="I30" s="2">
        <v>5.0</v>
      </c>
      <c r="K30" s="2">
        <v>26.0</v>
      </c>
      <c r="L30" s="2" t="s">
        <v>143</v>
      </c>
      <c r="M30" s="2" t="s">
        <v>13</v>
      </c>
      <c r="N30" s="2">
        <v>10.0</v>
      </c>
      <c r="P30" s="2">
        <v>26.0</v>
      </c>
      <c r="Q30" s="2" t="s">
        <v>144</v>
      </c>
      <c r="R30" s="2" t="s">
        <v>17</v>
      </c>
      <c r="S30" s="2">
        <v>5.0</v>
      </c>
      <c r="U30" s="2">
        <v>26.0</v>
      </c>
      <c r="V30" s="2" t="s">
        <v>145</v>
      </c>
      <c r="W30" s="2" t="s">
        <v>17</v>
      </c>
      <c r="X30" s="2">
        <v>5.0</v>
      </c>
    </row>
    <row r="31">
      <c r="A31" s="2">
        <v>27.0</v>
      </c>
      <c r="B31" s="2" t="s">
        <v>146</v>
      </c>
      <c r="C31" s="2" t="s">
        <v>13</v>
      </c>
      <c r="D31" s="4">
        <v>10.0</v>
      </c>
      <c r="F31" s="2">
        <v>27.0</v>
      </c>
      <c r="G31" s="2" t="s">
        <v>147</v>
      </c>
      <c r="H31" s="2" t="s">
        <v>13</v>
      </c>
      <c r="I31" s="2">
        <v>10.0</v>
      </c>
      <c r="K31" s="2">
        <v>27.0</v>
      </c>
      <c r="L31" s="2" t="s">
        <v>148</v>
      </c>
      <c r="M31" s="2" t="s">
        <v>13</v>
      </c>
      <c r="N31" s="2">
        <v>10.0</v>
      </c>
      <c r="P31" s="2">
        <v>27.0</v>
      </c>
      <c r="Q31" s="2" t="s">
        <v>149</v>
      </c>
      <c r="R31" s="2" t="s">
        <v>17</v>
      </c>
      <c r="S31" s="2">
        <v>10.0</v>
      </c>
      <c r="U31" s="2">
        <v>27.0</v>
      </c>
      <c r="V31" s="2" t="s">
        <v>150</v>
      </c>
      <c r="W31" s="2" t="s">
        <v>17</v>
      </c>
      <c r="X31" s="2">
        <v>5.0</v>
      </c>
    </row>
    <row r="32">
      <c r="A32" s="2">
        <v>28.0</v>
      </c>
      <c r="B32" s="2" t="s">
        <v>151</v>
      </c>
      <c r="C32" s="2" t="s">
        <v>13</v>
      </c>
      <c r="D32" s="4">
        <v>5.0</v>
      </c>
      <c r="F32" s="2">
        <v>28.0</v>
      </c>
      <c r="G32" s="2" t="s">
        <v>152</v>
      </c>
      <c r="H32" s="2" t="s">
        <v>13</v>
      </c>
      <c r="I32" s="2">
        <v>5.0</v>
      </c>
      <c r="K32" s="2">
        <v>28.0</v>
      </c>
      <c r="L32" s="2" t="s">
        <v>153</v>
      </c>
      <c r="M32" s="2" t="s">
        <v>13</v>
      </c>
      <c r="N32" s="2">
        <v>10.0</v>
      </c>
      <c r="P32" s="2">
        <v>28.0</v>
      </c>
      <c r="Q32" s="2" t="s">
        <v>154</v>
      </c>
      <c r="R32" s="2" t="s">
        <v>17</v>
      </c>
      <c r="S32" s="2">
        <v>5.0</v>
      </c>
      <c r="U32" s="2">
        <v>28.0</v>
      </c>
      <c r="V32" s="2" t="s">
        <v>155</v>
      </c>
      <c r="W32" s="2" t="s">
        <v>17</v>
      </c>
      <c r="X32" s="2">
        <v>5.0</v>
      </c>
    </row>
    <row r="33">
      <c r="A33" s="2">
        <v>29.0</v>
      </c>
      <c r="B33" s="2" t="s">
        <v>156</v>
      </c>
      <c r="C33" s="2" t="s">
        <v>13</v>
      </c>
      <c r="D33" s="4">
        <v>10.0</v>
      </c>
      <c r="F33" s="2">
        <v>29.0</v>
      </c>
      <c r="G33" s="2" t="s">
        <v>157</v>
      </c>
      <c r="H33" s="2" t="s">
        <v>13</v>
      </c>
      <c r="I33" s="2">
        <v>5.0</v>
      </c>
      <c r="K33" s="2">
        <v>29.0</v>
      </c>
      <c r="L33" s="2" t="s">
        <v>158</v>
      </c>
      <c r="M33" s="2" t="s">
        <v>13</v>
      </c>
      <c r="N33" s="2">
        <v>5.0</v>
      </c>
      <c r="P33" s="2">
        <v>29.0</v>
      </c>
      <c r="Q33" s="2" t="s">
        <v>159</v>
      </c>
      <c r="R33" s="2" t="s">
        <v>17</v>
      </c>
      <c r="S33" s="2">
        <v>10.0</v>
      </c>
      <c r="U33" s="2">
        <v>29.0</v>
      </c>
      <c r="V33" s="2" t="s">
        <v>160</v>
      </c>
      <c r="W33" s="2" t="s">
        <v>17</v>
      </c>
      <c r="X33" s="2">
        <v>10.0</v>
      </c>
    </row>
    <row r="34">
      <c r="A34" s="2">
        <v>30.0</v>
      </c>
      <c r="B34" s="2" t="s">
        <v>161</v>
      </c>
      <c r="C34" s="2" t="s">
        <v>13</v>
      </c>
      <c r="D34" s="4">
        <v>10.0</v>
      </c>
      <c r="F34" s="2">
        <v>30.0</v>
      </c>
      <c r="G34" s="2" t="s">
        <v>162</v>
      </c>
      <c r="H34" s="2" t="s">
        <v>13</v>
      </c>
      <c r="I34" s="2">
        <v>10.0</v>
      </c>
      <c r="K34" s="2">
        <v>30.0</v>
      </c>
      <c r="L34" s="2" t="s">
        <v>163</v>
      </c>
      <c r="M34" s="2" t="s">
        <v>13</v>
      </c>
      <c r="N34" s="2">
        <v>5.0</v>
      </c>
      <c r="P34" s="2">
        <v>30.0</v>
      </c>
      <c r="Q34" s="2" t="s">
        <v>164</v>
      </c>
      <c r="R34" s="2" t="s">
        <v>17</v>
      </c>
      <c r="S34" s="2">
        <v>10.0</v>
      </c>
      <c r="U34" s="2">
        <v>30.0</v>
      </c>
      <c r="V34" s="2" t="s">
        <v>165</v>
      </c>
      <c r="W34" s="2" t="s">
        <v>17</v>
      </c>
      <c r="X34" s="2">
        <v>5.0</v>
      </c>
    </row>
    <row r="35">
      <c r="A35" s="2">
        <v>31.0</v>
      </c>
      <c r="B35" s="2" t="s">
        <v>166</v>
      </c>
      <c r="C35" s="2" t="s">
        <v>13</v>
      </c>
      <c r="D35" s="4">
        <v>10.0</v>
      </c>
      <c r="F35" s="2">
        <v>31.0</v>
      </c>
      <c r="G35" s="2" t="s">
        <v>167</v>
      </c>
      <c r="H35" s="2" t="s">
        <v>13</v>
      </c>
      <c r="I35" s="2">
        <v>10.0</v>
      </c>
      <c r="K35" s="2">
        <v>31.0</v>
      </c>
      <c r="L35" s="2" t="s">
        <v>168</v>
      </c>
      <c r="M35" s="2" t="s">
        <v>13</v>
      </c>
      <c r="N35" s="2">
        <v>5.0</v>
      </c>
      <c r="P35" s="2">
        <v>31.0</v>
      </c>
      <c r="Q35" s="2" t="s">
        <v>169</v>
      </c>
      <c r="R35" s="2" t="s">
        <v>17</v>
      </c>
      <c r="S35" s="2">
        <v>10.0</v>
      </c>
      <c r="U35" s="2">
        <v>31.0</v>
      </c>
      <c r="V35" s="2" t="s">
        <v>170</v>
      </c>
      <c r="W35" s="2" t="s">
        <v>17</v>
      </c>
      <c r="X35" s="2">
        <v>10.0</v>
      </c>
    </row>
    <row r="36">
      <c r="A36" s="2">
        <v>32.0</v>
      </c>
      <c r="B36" s="2" t="s">
        <v>171</v>
      </c>
      <c r="C36" s="2" t="s">
        <v>13</v>
      </c>
      <c r="D36" s="4">
        <v>10.0</v>
      </c>
      <c r="F36" s="2">
        <v>32.0</v>
      </c>
      <c r="G36" s="2" t="s">
        <v>172</v>
      </c>
      <c r="H36" s="2" t="s">
        <v>13</v>
      </c>
      <c r="I36" s="2">
        <v>5.0</v>
      </c>
      <c r="K36" s="2">
        <v>32.0</v>
      </c>
      <c r="L36" s="2" t="s">
        <v>173</v>
      </c>
      <c r="M36" s="2" t="s">
        <v>13</v>
      </c>
      <c r="N36" s="2">
        <v>5.0</v>
      </c>
      <c r="P36" s="2">
        <v>32.0</v>
      </c>
      <c r="Q36" s="2" t="s">
        <v>174</v>
      </c>
      <c r="R36" s="2" t="s">
        <v>17</v>
      </c>
      <c r="S36" s="2">
        <v>5.0</v>
      </c>
      <c r="U36" s="2">
        <v>32.0</v>
      </c>
      <c r="V36" s="2" t="s">
        <v>175</v>
      </c>
      <c r="W36" s="2" t="s">
        <v>17</v>
      </c>
      <c r="X36" s="2">
        <v>10.0</v>
      </c>
    </row>
    <row r="37">
      <c r="A37" s="2">
        <v>33.0</v>
      </c>
      <c r="B37" s="2" t="s">
        <v>176</v>
      </c>
      <c r="C37" s="2" t="s">
        <v>13</v>
      </c>
      <c r="D37" s="4">
        <v>5.0</v>
      </c>
      <c r="F37" s="2">
        <v>33.0</v>
      </c>
      <c r="G37" s="2" t="s">
        <v>177</v>
      </c>
      <c r="H37" s="2" t="s">
        <v>13</v>
      </c>
      <c r="I37" s="2">
        <v>10.0</v>
      </c>
      <c r="K37" s="2">
        <v>33.0</v>
      </c>
      <c r="L37" s="2" t="s">
        <v>178</v>
      </c>
      <c r="M37" s="2" t="s">
        <v>13</v>
      </c>
      <c r="N37" s="2">
        <v>10.0</v>
      </c>
      <c r="P37" s="2">
        <v>33.0</v>
      </c>
      <c r="Q37" s="2" t="s">
        <v>179</v>
      </c>
      <c r="R37" s="2" t="s">
        <v>17</v>
      </c>
      <c r="S37" s="2">
        <v>5.0</v>
      </c>
      <c r="U37" s="2">
        <v>33.0</v>
      </c>
      <c r="V37" s="2" t="s">
        <v>180</v>
      </c>
      <c r="W37" s="2" t="s">
        <v>17</v>
      </c>
      <c r="X37" s="2">
        <v>5.0</v>
      </c>
    </row>
    <row r="38">
      <c r="A38" s="2">
        <v>34.0</v>
      </c>
      <c r="B38" s="2" t="s">
        <v>181</v>
      </c>
      <c r="C38" s="2" t="s">
        <v>13</v>
      </c>
      <c r="D38" s="4">
        <v>10.0</v>
      </c>
      <c r="F38" s="2">
        <v>34.0</v>
      </c>
      <c r="G38" s="2" t="s">
        <v>182</v>
      </c>
      <c r="H38" s="2" t="s">
        <v>13</v>
      </c>
      <c r="I38" s="2">
        <v>10.0</v>
      </c>
      <c r="K38" s="2">
        <v>34.0</v>
      </c>
      <c r="L38" s="2" t="s">
        <v>183</v>
      </c>
      <c r="M38" s="2" t="s">
        <v>13</v>
      </c>
      <c r="N38" s="2">
        <v>5.0</v>
      </c>
      <c r="P38" s="2">
        <v>34.0</v>
      </c>
      <c r="Q38" s="2" t="s">
        <v>184</v>
      </c>
      <c r="R38" s="2" t="s">
        <v>17</v>
      </c>
      <c r="S38" s="2">
        <v>10.0</v>
      </c>
      <c r="U38" s="2">
        <v>34.0</v>
      </c>
      <c r="V38" s="2" t="s">
        <v>185</v>
      </c>
      <c r="W38" s="2" t="s">
        <v>17</v>
      </c>
      <c r="X38" s="2">
        <v>5.0</v>
      </c>
    </row>
    <row r="39">
      <c r="A39" s="2">
        <v>35.0</v>
      </c>
      <c r="B39" s="2" t="s">
        <v>186</v>
      </c>
      <c r="C39" s="2" t="s">
        <v>13</v>
      </c>
      <c r="D39" s="4">
        <v>5.0</v>
      </c>
      <c r="F39" s="2">
        <v>35.0</v>
      </c>
      <c r="G39" s="2" t="s">
        <v>187</v>
      </c>
      <c r="H39" s="2" t="s">
        <v>13</v>
      </c>
      <c r="I39" s="2">
        <v>10.0</v>
      </c>
      <c r="K39" s="2">
        <v>35.0</v>
      </c>
      <c r="L39" s="2" t="s">
        <v>188</v>
      </c>
      <c r="M39" s="2" t="s">
        <v>13</v>
      </c>
      <c r="N39" s="2">
        <v>5.0</v>
      </c>
      <c r="P39" s="2">
        <v>35.0</v>
      </c>
      <c r="Q39" s="2" t="s">
        <v>189</v>
      </c>
      <c r="R39" s="2" t="s">
        <v>17</v>
      </c>
      <c r="S39" s="2">
        <v>10.0</v>
      </c>
      <c r="U39" s="2">
        <v>35.0</v>
      </c>
      <c r="V39" s="2" t="s">
        <v>190</v>
      </c>
      <c r="W39" s="2" t="s">
        <v>17</v>
      </c>
      <c r="X39" s="2">
        <v>5.0</v>
      </c>
    </row>
    <row r="40">
      <c r="A40" s="2">
        <v>36.0</v>
      </c>
      <c r="B40" s="2" t="s">
        <v>191</v>
      </c>
      <c r="C40" s="2" t="s">
        <v>13</v>
      </c>
      <c r="D40" s="4">
        <v>10.0</v>
      </c>
      <c r="F40" s="2">
        <v>36.0</v>
      </c>
      <c r="G40" s="2" t="s">
        <v>192</v>
      </c>
      <c r="H40" s="2" t="s">
        <v>13</v>
      </c>
      <c r="I40" s="2">
        <v>10.0</v>
      </c>
      <c r="K40" s="2">
        <v>36.0</v>
      </c>
      <c r="L40" s="2" t="s">
        <v>193</v>
      </c>
      <c r="M40" s="2" t="s">
        <v>13</v>
      </c>
      <c r="N40" s="2">
        <v>5.0</v>
      </c>
      <c r="P40" s="2">
        <v>36.0</v>
      </c>
      <c r="Q40" s="2" t="s">
        <v>194</v>
      </c>
      <c r="R40" s="2" t="s">
        <v>17</v>
      </c>
      <c r="S40" s="2">
        <v>10.0</v>
      </c>
      <c r="U40" s="2">
        <v>36.0</v>
      </c>
      <c r="V40" s="2" t="s">
        <v>195</v>
      </c>
      <c r="W40" s="2" t="s">
        <v>17</v>
      </c>
      <c r="X40" s="2">
        <v>10.0</v>
      </c>
    </row>
    <row r="41">
      <c r="A41" s="2">
        <v>37.0</v>
      </c>
      <c r="B41" s="2" t="s">
        <v>196</v>
      </c>
      <c r="C41" s="2" t="s">
        <v>13</v>
      </c>
      <c r="D41" s="4">
        <v>5.0</v>
      </c>
      <c r="F41" s="2">
        <v>37.0</v>
      </c>
      <c r="G41" s="2" t="s">
        <v>197</v>
      </c>
      <c r="H41" s="2" t="s">
        <v>13</v>
      </c>
      <c r="I41" s="2">
        <v>10.0</v>
      </c>
      <c r="K41" s="2">
        <v>37.0</v>
      </c>
      <c r="L41" s="2" t="s">
        <v>198</v>
      </c>
      <c r="M41" s="2" t="s">
        <v>13</v>
      </c>
      <c r="N41" s="2">
        <v>5.0</v>
      </c>
      <c r="P41" s="2">
        <v>37.0</v>
      </c>
      <c r="Q41" s="2" t="s">
        <v>199</v>
      </c>
      <c r="R41" s="2" t="s">
        <v>17</v>
      </c>
      <c r="S41" s="2">
        <v>10.0</v>
      </c>
      <c r="U41" s="2">
        <v>37.0</v>
      </c>
      <c r="V41" s="2" t="s">
        <v>200</v>
      </c>
      <c r="W41" s="2" t="s">
        <v>17</v>
      </c>
      <c r="X41" s="2">
        <v>5.0</v>
      </c>
    </row>
    <row r="42">
      <c r="A42" s="2">
        <v>38.0</v>
      </c>
      <c r="B42" s="2" t="s">
        <v>201</v>
      </c>
      <c r="C42" s="2" t="s">
        <v>13</v>
      </c>
      <c r="D42" s="3">
        <v>10.0</v>
      </c>
      <c r="F42" s="2">
        <v>38.0</v>
      </c>
      <c r="G42" s="2" t="s">
        <v>202</v>
      </c>
      <c r="H42" s="2" t="s">
        <v>13</v>
      </c>
      <c r="I42" s="2">
        <v>10.0</v>
      </c>
      <c r="K42" s="2">
        <v>38.0</v>
      </c>
      <c r="L42" s="2" t="s">
        <v>203</v>
      </c>
      <c r="M42" s="2" t="s">
        <v>13</v>
      </c>
      <c r="N42" s="2">
        <v>5.0</v>
      </c>
      <c r="P42" s="2">
        <v>38.0</v>
      </c>
      <c r="Q42" s="2" t="s">
        <v>204</v>
      </c>
      <c r="R42" s="2" t="s">
        <v>17</v>
      </c>
      <c r="S42" s="2">
        <v>10.0</v>
      </c>
      <c r="U42" s="2">
        <v>38.0</v>
      </c>
      <c r="V42" s="2" t="s">
        <v>205</v>
      </c>
      <c r="W42" s="2" t="s">
        <v>17</v>
      </c>
      <c r="X42" s="2">
        <v>5.0</v>
      </c>
    </row>
    <row r="43">
      <c r="A43" s="2">
        <v>39.0</v>
      </c>
      <c r="B43" s="2" t="s">
        <v>206</v>
      </c>
      <c r="C43" s="2" t="s">
        <v>13</v>
      </c>
      <c r="D43" s="4">
        <v>10.0</v>
      </c>
      <c r="F43" s="2">
        <v>39.0</v>
      </c>
      <c r="G43" s="2" t="s">
        <v>207</v>
      </c>
      <c r="H43" s="2" t="s">
        <v>13</v>
      </c>
      <c r="I43" s="2">
        <v>10.0</v>
      </c>
      <c r="K43" s="2">
        <v>39.0</v>
      </c>
      <c r="L43" s="2" t="s">
        <v>208</v>
      </c>
      <c r="M43" s="2" t="s">
        <v>13</v>
      </c>
      <c r="N43" s="2">
        <v>10.0</v>
      </c>
      <c r="P43" s="2">
        <v>39.0</v>
      </c>
      <c r="Q43" s="2" t="s">
        <v>209</v>
      </c>
      <c r="R43" s="2" t="s">
        <v>17</v>
      </c>
      <c r="S43" s="2">
        <v>5.0</v>
      </c>
      <c r="U43" s="2">
        <v>39.0</v>
      </c>
      <c r="V43" s="2" t="s">
        <v>210</v>
      </c>
      <c r="W43" s="2" t="s">
        <v>17</v>
      </c>
      <c r="X43" s="2">
        <v>10.0</v>
      </c>
    </row>
    <row r="44">
      <c r="A44" s="2">
        <v>40.0</v>
      </c>
      <c r="B44" s="2" t="s">
        <v>211</v>
      </c>
      <c r="C44" s="2" t="s">
        <v>13</v>
      </c>
      <c r="D44" s="4">
        <v>10.0</v>
      </c>
      <c r="F44" s="2">
        <v>40.0</v>
      </c>
      <c r="G44" s="2" t="s">
        <v>212</v>
      </c>
      <c r="H44" s="2" t="s">
        <v>13</v>
      </c>
      <c r="I44" s="2">
        <v>10.0</v>
      </c>
      <c r="K44" s="2">
        <v>40.0</v>
      </c>
      <c r="L44" s="2" t="s">
        <v>213</v>
      </c>
      <c r="M44" s="2" t="s">
        <v>13</v>
      </c>
      <c r="N44" s="2">
        <v>5.0</v>
      </c>
      <c r="P44" s="2">
        <v>40.0</v>
      </c>
      <c r="Q44" s="2" t="s">
        <v>214</v>
      </c>
      <c r="R44" s="2" t="s">
        <v>17</v>
      </c>
      <c r="S44" s="2">
        <v>10.0</v>
      </c>
      <c r="U44" s="2">
        <v>40.0</v>
      </c>
      <c r="V44" s="2" t="s">
        <v>215</v>
      </c>
      <c r="W44" s="2" t="s">
        <v>17</v>
      </c>
      <c r="X44" s="2">
        <v>10.0</v>
      </c>
    </row>
    <row r="45">
      <c r="A45" s="2">
        <v>41.0</v>
      </c>
      <c r="B45" s="2" t="s">
        <v>216</v>
      </c>
      <c r="C45" s="2" t="s">
        <v>13</v>
      </c>
      <c r="D45" s="4">
        <v>5.0</v>
      </c>
      <c r="F45" s="2">
        <v>41.0</v>
      </c>
      <c r="G45" s="2" t="s">
        <v>217</v>
      </c>
      <c r="H45" s="2" t="s">
        <v>13</v>
      </c>
      <c r="I45" s="2">
        <v>5.0</v>
      </c>
      <c r="K45" s="2">
        <v>41.0</v>
      </c>
      <c r="L45" s="2" t="s">
        <v>218</v>
      </c>
      <c r="M45" s="2" t="s">
        <v>13</v>
      </c>
      <c r="N45" s="2">
        <v>5.0</v>
      </c>
      <c r="P45" s="2">
        <v>41.0</v>
      </c>
      <c r="Q45" s="2" t="s">
        <v>219</v>
      </c>
      <c r="R45" s="2" t="s">
        <v>17</v>
      </c>
      <c r="S45" s="2">
        <v>10.0</v>
      </c>
      <c r="U45" s="2">
        <v>41.0</v>
      </c>
      <c r="V45" s="2" t="s">
        <v>220</v>
      </c>
      <c r="W45" s="2" t="s">
        <v>17</v>
      </c>
      <c r="X45" s="2">
        <v>5.0</v>
      </c>
    </row>
    <row r="46">
      <c r="A46" s="2">
        <v>42.0</v>
      </c>
      <c r="B46" s="2" t="s">
        <v>221</v>
      </c>
      <c r="C46" s="2" t="s">
        <v>13</v>
      </c>
      <c r="D46" s="4">
        <v>10.0</v>
      </c>
      <c r="F46" s="2">
        <v>42.0</v>
      </c>
      <c r="G46" s="2" t="s">
        <v>222</v>
      </c>
      <c r="H46" s="2" t="s">
        <v>13</v>
      </c>
      <c r="I46" s="2">
        <v>5.0</v>
      </c>
      <c r="K46" s="2">
        <v>42.0</v>
      </c>
      <c r="L46" s="2" t="s">
        <v>223</v>
      </c>
      <c r="M46" s="2" t="s">
        <v>13</v>
      </c>
      <c r="N46" s="2">
        <v>10.0</v>
      </c>
      <c r="P46" s="2">
        <v>42.0</v>
      </c>
      <c r="Q46" s="2" t="s">
        <v>224</v>
      </c>
      <c r="R46" s="2" t="s">
        <v>17</v>
      </c>
      <c r="S46" s="2">
        <v>10.0</v>
      </c>
      <c r="U46" s="2">
        <v>42.0</v>
      </c>
      <c r="V46" s="2" t="s">
        <v>225</v>
      </c>
      <c r="W46" s="2" t="s">
        <v>17</v>
      </c>
      <c r="X46" s="2">
        <v>5.0</v>
      </c>
    </row>
    <row r="47">
      <c r="A47" s="2">
        <v>43.0</v>
      </c>
      <c r="B47" s="2" t="s">
        <v>226</v>
      </c>
      <c r="C47" s="2" t="s">
        <v>13</v>
      </c>
      <c r="D47" s="4">
        <v>10.0</v>
      </c>
      <c r="F47" s="2">
        <v>43.0</v>
      </c>
      <c r="G47" s="2" t="s">
        <v>227</v>
      </c>
      <c r="H47" s="2" t="s">
        <v>13</v>
      </c>
      <c r="I47" s="2">
        <v>5.0</v>
      </c>
      <c r="K47" s="2">
        <v>43.0</v>
      </c>
      <c r="L47" s="2" t="s">
        <v>228</v>
      </c>
      <c r="M47" s="2" t="s">
        <v>13</v>
      </c>
      <c r="N47" s="2">
        <v>10.0</v>
      </c>
      <c r="P47" s="2">
        <v>43.0</v>
      </c>
      <c r="Q47" s="2" t="s">
        <v>229</v>
      </c>
      <c r="R47" s="2" t="s">
        <v>17</v>
      </c>
      <c r="S47" s="2">
        <v>10.0</v>
      </c>
      <c r="U47" s="2">
        <v>43.0</v>
      </c>
      <c r="V47" s="2" t="s">
        <v>230</v>
      </c>
      <c r="W47" s="2" t="s">
        <v>17</v>
      </c>
      <c r="X47" s="2">
        <v>5.0</v>
      </c>
    </row>
    <row r="48">
      <c r="A48" s="2">
        <v>44.0</v>
      </c>
      <c r="B48" s="2" t="s">
        <v>231</v>
      </c>
      <c r="C48" s="2" t="s">
        <v>13</v>
      </c>
      <c r="D48" s="4">
        <v>10.0</v>
      </c>
      <c r="F48" s="2">
        <v>44.0</v>
      </c>
      <c r="G48" s="2" t="s">
        <v>232</v>
      </c>
      <c r="H48" s="2" t="s">
        <v>13</v>
      </c>
      <c r="I48" s="2">
        <v>10.0</v>
      </c>
      <c r="K48" s="2">
        <v>44.0</v>
      </c>
      <c r="L48" s="2" t="s">
        <v>233</v>
      </c>
      <c r="M48" s="2" t="s">
        <v>13</v>
      </c>
      <c r="N48" s="2">
        <v>10.0</v>
      </c>
      <c r="P48" s="2">
        <v>44.0</v>
      </c>
      <c r="Q48" s="2" t="s">
        <v>234</v>
      </c>
      <c r="R48" s="2" t="s">
        <v>17</v>
      </c>
      <c r="S48" s="2">
        <v>10.0</v>
      </c>
      <c r="U48" s="2">
        <v>44.0</v>
      </c>
      <c r="V48" s="2" t="s">
        <v>235</v>
      </c>
      <c r="W48" s="2" t="s">
        <v>17</v>
      </c>
      <c r="X48" s="2">
        <v>10.0</v>
      </c>
    </row>
    <row r="49">
      <c r="A49" s="2">
        <v>45.0</v>
      </c>
      <c r="B49" s="2" t="s">
        <v>236</v>
      </c>
      <c r="C49" s="2" t="s">
        <v>13</v>
      </c>
      <c r="D49" s="4">
        <v>10.0</v>
      </c>
      <c r="F49" s="2">
        <v>45.0</v>
      </c>
      <c r="G49" s="2" t="s">
        <v>237</v>
      </c>
      <c r="H49" s="2" t="s">
        <v>13</v>
      </c>
      <c r="I49" s="2">
        <v>10.0</v>
      </c>
      <c r="K49" s="2">
        <v>45.0</v>
      </c>
      <c r="L49" s="2" t="s">
        <v>238</v>
      </c>
      <c r="M49" s="2" t="s">
        <v>13</v>
      </c>
      <c r="N49" s="2">
        <v>5.0</v>
      </c>
      <c r="P49" s="2">
        <v>45.0</v>
      </c>
      <c r="Q49" s="2" t="s">
        <v>239</v>
      </c>
      <c r="R49" s="2" t="s">
        <v>17</v>
      </c>
      <c r="S49" s="2">
        <v>5.0</v>
      </c>
      <c r="U49" s="2">
        <v>45.0</v>
      </c>
      <c r="V49" s="2" t="s">
        <v>240</v>
      </c>
      <c r="W49" s="2" t="s">
        <v>17</v>
      </c>
      <c r="X49" s="2">
        <v>5.0</v>
      </c>
    </row>
    <row r="50">
      <c r="A50" s="2">
        <v>46.0</v>
      </c>
      <c r="B50" s="2" t="s">
        <v>241</v>
      </c>
      <c r="C50" s="2" t="s">
        <v>13</v>
      </c>
      <c r="D50" s="4">
        <v>5.0</v>
      </c>
      <c r="F50" s="2">
        <v>46.0</v>
      </c>
      <c r="G50" s="2" t="s">
        <v>242</v>
      </c>
      <c r="H50" s="2" t="s">
        <v>13</v>
      </c>
      <c r="I50" s="2">
        <v>5.0</v>
      </c>
      <c r="K50" s="2">
        <v>46.0</v>
      </c>
      <c r="L50" s="2" t="s">
        <v>243</v>
      </c>
      <c r="M50" s="2" t="s">
        <v>13</v>
      </c>
      <c r="N50" s="2">
        <v>10.0</v>
      </c>
      <c r="P50" s="2">
        <v>46.0</v>
      </c>
      <c r="Q50" s="2" t="s">
        <v>244</v>
      </c>
      <c r="R50" s="2" t="s">
        <v>17</v>
      </c>
      <c r="S50" s="2">
        <v>5.0</v>
      </c>
      <c r="U50" s="2">
        <v>46.0</v>
      </c>
      <c r="V50" s="2" t="s">
        <v>245</v>
      </c>
      <c r="W50" s="2" t="s">
        <v>17</v>
      </c>
      <c r="X50" s="2">
        <v>5.0</v>
      </c>
    </row>
    <row r="51">
      <c r="A51" s="2">
        <v>47.0</v>
      </c>
      <c r="B51" s="2" t="s">
        <v>246</v>
      </c>
      <c r="C51" s="2" t="s">
        <v>13</v>
      </c>
      <c r="D51" s="4">
        <v>5.0</v>
      </c>
      <c r="F51" s="2">
        <v>47.0</v>
      </c>
      <c r="G51" s="2" t="s">
        <v>247</v>
      </c>
      <c r="H51" s="2" t="s">
        <v>13</v>
      </c>
      <c r="I51" s="2">
        <v>5.0</v>
      </c>
      <c r="K51" s="2">
        <v>47.0</v>
      </c>
      <c r="L51" s="2" t="s">
        <v>248</v>
      </c>
      <c r="M51" s="2" t="s">
        <v>13</v>
      </c>
      <c r="N51" s="2">
        <v>10.0</v>
      </c>
      <c r="P51" s="2">
        <v>47.0</v>
      </c>
      <c r="Q51" s="2" t="s">
        <v>249</v>
      </c>
      <c r="R51" s="2" t="s">
        <v>17</v>
      </c>
      <c r="S51" s="2">
        <v>10.0</v>
      </c>
      <c r="U51" s="2">
        <v>47.0</v>
      </c>
      <c r="V51" s="2" t="s">
        <v>250</v>
      </c>
      <c r="W51" s="2" t="s">
        <v>17</v>
      </c>
      <c r="X51" s="2">
        <v>10.0</v>
      </c>
    </row>
    <row r="52">
      <c r="A52" s="2">
        <v>48.0</v>
      </c>
      <c r="B52" s="2" t="s">
        <v>251</v>
      </c>
      <c r="C52" s="2" t="s">
        <v>13</v>
      </c>
      <c r="D52" s="4">
        <v>5.0</v>
      </c>
      <c r="F52" s="2">
        <v>48.0</v>
      </c>
      <c r="G52" s="2" t="s">
        <v>252</v>
      </c>
      <c r="H52" s="2" t="s">
        <v>13</v>
      </c>
      <c r="I52" s="2">
        <v>10.0</v>
      </c>
      <c r="K52" s="2">
        <v>48.0</v>
      </c>
      <c r="L52" s="2" t="s">
        <v>253</v>
      </c>
      <c r="M52" s="2" t="s">
        <v>13</v>
      </c>
      <c r="N52" s="2">
        <v>10.0</v>
      </c>
      <c r="P52" s="2">
        <v>48.0</v>
      </c>
      <c r="Q52" s="2" t="s">
        <v>254</v>
      </c>
      <c r="R52" s="2" t="s">
        <v>17</v>
      </c>
      <c r="S52" s="2">
        <v>10.0</v>
      </c>
      <c r="U52" s="2">
        <v>48.0</v>
      </c>
      <c r="V52" s="2" t="s">
        <v>255</v>
      </c>
      <c r="W52" s="2" t="s">
        <v>17</v>
      </c>
      <c r="X52" s="2">
        <v>10.0</v>
      </c>
    </row>
    <row r="53">
      <c r="A53" s="2">
        <v>49.0</v>
      </c>
      <c r="B53" s="2" t="s">
        <v>256</v>
      </c>
      <c r="C53" s="2" t="s">
        <v>13</v>
      </c>
      <c r="D53" s="4">
        <v>10.0</v>
      </c>
      <c r="F53" s="2">
        <v>49.0</v>
      </c>
      <c r="G53" s="2" t="s">
        <v>257</v>
      </c>
      <c r="H53" s="2" t="s">
        <v>13</v>
      </c>
      <c r="I53" s="2">
        <v>5.0</v>
      </c>
      <c r="K53" s="2">
        <v>49.0</v>
      </c>
      <c r="L53" s="2" t="s">
        <v>258</v>
      </c>
      <c r="M53" s="2" t="s">
        <v>13</v>
      </c>
      <c r="N53" s="2">
        <v>5.0</v>
      </c>
      <c r="P53" s="2">
        <v>49.0</v>
      </c>
      <c r="Q53" s="2" t="s">
        <v>259</v>
      </c>
      <c r="R53" s="2" t="s">
        <v>17</v>
      </c>
      <c r="S53" s="2">
        <v>10.0</v>
      </c>
      <c r="U53" s="2">
        <v>49.0</v>
      </c>
      <c r="V53" s="2" t="s">
        <v>260</v>
      </c>
      <c r="W53" s="2" t="s">
        <v>17</v>
      </c>
      <c r="X53" s="2">
        <v>10.0</v>
      </c>
    </row>
    <row r="54">
      <c r="A54" s="2">
        <v>50.0</v>
      </c>
      <c r="B54" s="2" t="s">
        <v>261</v>
      </c>
      <c r="C54" s="2" t="s">
        <v>13</v>
      </c>
      <c r="D54" s="4">
        <v>10.0</v>
      </c>
      <c r="F54" s="2">
        <v>50.0</v>
      </c>
      <c r="G54" s="2" t="s">
        <v>262</v>
      </c>
      <c r="H54" s="2" t="s">
        <v>13</v>
      </c>
      <c r="I54" s="2">
        <v>10.0</v>
      </c>
      <c r="K54" s="2">
        <v>50.0</v>
      </c>
      <c r="L54" s="2" t="s">
        <v>263</v>
      </c>
      <c r="M54" s="2" t="s">
        <v>13</v>
      </c>
      <c r="N54" s="2">
        <v>5.0</v>
      </c>
      <c r="P54" s="2">
        <v>50.0</v>
      </c>
      <c r="Q54" s="2" t="s">
        <v>264</v>
      </c>
      <c r="R54" s="2" t="s">
        <v>17</v>
      </c>
      <c r="S54" s="2">
        <v>5.0</v>
      </c>
      <c r="U54" s="2">
        <v>50.0</v>
      </c>
      <c r="V54" s="2" t="s">
        <v>265</v>
      </c>
      <c r="W54" s="2" t="s">
        <v>17</v>
      </c>
      <c r="X54" s="2">
        <v>10.0</v>
      </c>
    </row>
    <row r="55">
      <c r="A55" s="2">
        <v>51.0</v>
      </c>
      <c r="B55" s="2" t="s">
        <v>266</v>
      </c>
      <c r="C55" s="2" t="s">
        <v>13</v>
      </c>
      <c r="D55" s="3">
        <v>10.0</v>
      </c>
      <c r="F55" s="2">
        <v>51.0</v>
      </c>
      <c r="G55" s="2" t="s">
        <v>267</v>
      </c>
      <c r="H55" s="2" t="s">
        <v>13</v>
      </c>
      <c r="I55" s="2">
        <v>10.0</v>
      </c>
      <c r="K55" s="2">
        <v>51.0</v>
      </c>
      <c r="L55" s="2" t="s">
        <v>268</v>
      </c>
      <c r="M55" s="2" t="s">
        <v>13</v>
      </c>
      <c r="N55" s="2">
        <v>5.0</v>
      </c>
      <c r="P55" s="2">
        <v>51.0</v>
      </c>
      <c r="Q55" s="2" t="s">
        <v>269</v>
      </c>
      <c r="R55" s="2" t="s">
        <v>17</v>
      </c>
      <c r="S55" s="2">
        <v>5.0</v>
      </c>
      <c r="U55" s="2">
        <v>51.0</v>
      </c>
      <c r="V55" s="2" t="s">
        <v>270</v>
      </c>
      <c r="W55" s="2" t="s">
        <v>17</v>
      </c>
      <c r="X55" s="2">
        <v>10.0</v>
      </c>
    </row>
    <row r="56">
      <c r="A56" s="2">
        <v>52.0</v>
      </c>
      <c r="B56" s="2" t="s">
        <v>271</v>
      </c>
      <c r="C56" s="2" t="s">
        <v>13</v>
      </c>
      <c r="D56" s="4">
        <v>5.0</v>
      </c>
      <c r="F56" s="2">
        <v>52.0</v>
      </c>
      <c r="G56" s="2" t="s">
        <v>272</v>
      </c>
      <c r="H56" s="2" t="s">
        <v>13</v>
      </c>
      <c r="I56" s="2">
        <v>10.0</v>
      </c>
      <c r="K56" s="2">
        <v>52.0</v>
      </c>
      <c r="L56" s="2" t="s">
        <v>273</v>
      </c>
      <c r="M56" s="2" t="s">
        <v>13</v>
      </c>
      <c r="N56" s="2">
        <v>5.0</v>
      </c>
      <c r="P56" s="2">
        <v>52.0</v>
      </c>
      <c r="Q56" s="2" t="s">
        <v>274</v>
      </c>
      <c r="R56" s="2" t="s">
        <v>17</v>
      </c>
      <c r="S56" s="2">
        <v>5.0</v>
      </c>
      <c r="U56" s="2">
        <v>52.0</v>
      </c>
      <c r="V56" s="2" t="s">
        <v>275</v>
      </c>
      <c r="W56" s="2" t="s">
        <v>17</v>
      </c>
      <c r="X56" s="2">
        <v>5.0</v>
      </c>
    </row>
    <row r="57">
      <c r="A57" s="2">
        <v>53.0</v>
      </c>
      <c r="B57" s="2" t="s">
        <v>276</v>
      </c>
      <c r="C57" s="2" t="s">
        <v>13</v>
      </c>
      <c r="D57" s="4">
        <v>5.0</v>
      </c>
      <c r="F57" s="2">
        <v>53.0</v>
      </c>
      <c r="G57" s="2" t="s">
        <v>277</v>
      </c>
      <c r="H57" s="2" t="s">
        <v>13</v>
      </c>
      <c r="I57" s="2">
        <v>10.0</v>
      </c>
      <c r="K57" s="2">
        <v>53.0</v>
      </c>
      <c r="L57" s="2" t="s">
        <v>278</v>
      </c>
      <c r="M57" s="2" t="s">
        <v>13</v>
      </c>
      <c r="N57" s="2">
        <v>5.0</v>
      </c>
      <c r="P57" s="2">
        <v>53.0</v>
      </c>
      <c r="Q57" s="2" t="s">
        <v>279</v>
      </c>
      <c r="R57" s="2" t="s">
        <v>17</v>
      </c>
      <c r="S57" s="2">
        <v>5.0</v>
      </c>
      <c r="U57" s="2">
        <v>53.0</v>
      </c>
      <c r="V57" s="2" t="s">
        <v>280</v>
      </c>
      <c r="W57" s="2" t="s">
        <v>17</v>
      </c>
      <c r="X57" s="2">
        <v>5.0</v>
      </c>
    </row>
    <row r="58">
      <c r="A58" s="2">
        <v>54.0</v>
      </c>
      <c r="B58" s="2" t="s">
        <v>281</v>
      </c>
      <c r="C58" s="2" t="s">
        <v>13</v>
      </c>
      <c r="D58" s="4">
        <v>5.0</v>
      </c>
      <c r="F58" s="2">
        <v>54.0</v>
      </c>
      <c r="G58" s="2" t="s">
        <v>282</v>
      </c>
      <c r="H58" s="2" t="s">
        <v>13</v>
      </c>
      <c r="I58" s="2">
        <v>10.0</v>
      </c>
      <c r="K58" s="2">
        <v>54.0</v>
      </c>
      <c r="L58" s="2" t="s">
        <v>283</v>
      </c>
      <c r="M58" s="2" t="s">
        <v>13</v>
      </c>
      <c r="N58" s="2">
        <v>10.0</v>
      </c>
      <c r="P58" s="2">
        <v>54.0</v>
      </c>
      <c r="Q58" s="2" t="s">
        <v>284</v>
      </c>
      <c r="R58" s="2" t="s">
        <v>17</v>
      </c>
      <c r="S58" s="2">
        <v>5.0</v>
      </c>
      <c r="U58" s="2">
        <v>54.0</v>
      </c>
      <c r="V58" s="2" t="s">
        <v>285</v>
      </c>
      <c r="W58" s="2" t="s">
        <v>17</v>
      </c>
      <c r="X58" s="2">
        <v>5.0</v>
      </c>
    </row>
    <row r="59">
      <c r="A59" s="2">
        <v>55.0</v>
      </c>
      <c r="B59" s="2" t="s">
        <v>286</v>
      </c>
      <c r="C59" s="2" t="s">
        <v>13</v>
      </c>
      <c r="D59" s="4">
        <v>10.0</v>
      </c>
      <c r="F59" s="2">
        <v>55.0</v>
      </c>
      <c r="G59" s="2" t="s">
        <v>287</v>
      </c>
      <c r="H59" s="2" t="s">
        <v>13</v>
      </c>
      <c r="I59" s="2">
        <v>5.0</v>
      </c>
      <c r="K59" s="2">
        <v>55.0</v>
      </c>
      <c r="L59" s="2" t="s">
        <v>288</v>
      </c>
      <c r="M59" s="2" t="s">
        <v>13</v>
      </c>
      <c r="N59" s="2">
        <v>10.0</v>
      </c>
      <c r="P59" s="2">
        <v>55.0</v>
      </c>
      <c r="Q59" s="2" t="s">
        <v>289</v>
      </c>
      <c r="R59" s="2" t="s">
        <v>17</v>
      </c>
      <c r="S59" s="2">
        <v>5.0</v>
      </c>
      <c r="U59" s="2">
        <v>55.0</v>
      </c>
      <c r="V59" s="2" t="s">
        <v>290</v>
      </c>
      <c r="W59" s="2" t="s">
        <v>17</v>
      </c>
      <c r="X59" s="2">
        <v>5.0</v>
      </c>
    </row>
    <row r="60">
      <c r="A60" s="2">
        <v>56.0</v>
      </c>
      <c r="B60" s="2" t="s">
        <v>291</v>
      </c>
      <c r="C60" s="2" t="s">
        <v>13</v>
      </c>
      <c r="D60" s="4">
        <v>5.0</v>
      </c>
      <c r="F60" s="2">
        <v>56.0</v>
      </c>
      <c r="G60" s="2" t="s">
        <v>292</v>
      </c>
      <c r="H60" s="2" t="s">
        <v>13</v>
      </c>
      <c r="I60" s="2">
        <v>5.0</v>
      </c>
      <c r="K60" s="2">
        <v>56.0</v>
      </c>
      <c r="L60" s="2" t="s">
        <v>293</v>
      </c>
      <c r="M60" s="2" t="s">
        <v>13</v>
      </c>
      <c r="N60" s="2">
        <v>10.0</v>
      </c>
      <c r="P60" s="2">
        <v>56.0</v>
      </c>
      <c r="Q60" s="2" t="s">
        <v>294</v>
      </c>
      <c r="R60" s="2" t="s">
        <v>17</v>
      </c>
      <c r="S60" s="2">
        <v>5.0</v>
      </c>
      <c r="U60" s="2">
        <v>56.0</v>
      </c>
      <c r="V60" s="2" t="s">
        <v>295</v>
      </c>
      <c r="W60" s="2" t="s">
        <v>17</v>
      </c>
      <c r="X60" s="2">
        <v>5.0</v>
      </c>
    </row>
    <row r="61">
      <c r="A61" s="2">
        <v>57.0</v>
      </c>
      <c r="B61" s="2" t="s">
        <v>296</v>
      </c>
      <c r="C61" s="2" t="s">
        <v>13</v>
      </c>
      <c r="D61" s="4">
        <v>5.0</v>
      </c>
      <c r="F61" s="2">
        <v>57.0</v>
      </c>
      <c r="G61" s="2" t="s">
        <v>297</v>
      </c>
      <c r="H61" s="2" t="s">
        <v>13</v>
      </c>
      <c r="I61" s="2">
        <v>5.0</v>
      </c>
      <c r="K61" s="2">
        <v>57.0</v>
      </c>
      <c r="L61" s="2" t="s">
        <v>298</v>
      </c>
      <c r="M61" s="2" t="s">
        <v>13</v>
      </c>
      <c r="N61" s="2">
        <v>5.0</v>
      </c>
      <c r="P61" s="2">
        <v>57.0</v>
      </c>
      <c r="Q61" s="2" t="s">
        <v>299</v>
      </c>
      <c r="R61" s="2" t="s">
        <v>17</v>
      </c>
      <c r="S61" s="2">
        <v>5.0</v>
      </c>
      <c r="U61" s="2">
        <v>57.0</v>
      </c>
      <c r="V61" s="2" t="s">
        <v>300</v>
      </c>
      <c r="W61" s="2" t="s">
        <v>17</v>
      </c>
      <c r="X61" s="2">
        <v>5.0</v>
      </c>
    </row>
    <row r="62">
      <c r="A62" s="2">
        <v>58.0</v>
      </c>
      <c r="B62" s="2" t="s">
        <v>301</v>
      </c>
      <c r="C62" s="2" t="s">
        <v>13</v>
      </c>
      <c r="D62" s="4">
        <v>5.0</v>
      </c>
      <c r="F62" s="2">
        <v>58.0</v>
      </c>
      <c r="G62" s="2" t="s">
        <v>302</v>
      </c>
      <c r="H62" s="2" t="s">
        <v>13</v>
      </c>
      <c r="I62" s="2">
        <v>10.0</v>
      </c>
      <c r="K62" s="2">
        <v>58.0</v>
      </c>
      <c r="L62" s="2" t="s">
        <v>303</v>
      </c>
      <c r="M62" s="2" t="s">
        <v>13</v>
      </c>
      <c r="N62" s="2">
        <v>5.0</v>
      </c>
      <c r="P62" s="2">
        <v>58.0</v>
      </c>
      <c r="Q62" s="2" t="s">
        <v>304</v>
      </c>
      <c r="R62" s="2" t="s">
        <v>17</v>
      </c>
      <c r="S62" s="2">
        <v>5.0</v>
      </c>
      <c r="U62" s="2">
        <v>58.0</v>
      </c>
      <c r="V62" s="2" t="s">
        <v>305</v>
      </c>
      <c r="W62" s="2" t="s">
        <v>17</v>
      </c>
      <c r="X62" s="2">
        <v>5.0</v>
      </c>
    </row>
    <row r="63">
      <c r="A63" s="2">
        <v>59.0</v>
      </c>
      <c r="B63" s="2" t="s">
        <v>306</v>
      </c>
      <c r="C63" s="2" t="s">
        <v>13</v>
      </c>
      <c r="D63" s="4">
        <v>10.0</v>
      </c>
      <c r="F63" s="2">
        <v>59.0</v>
      </c>
      <c r="G63" s="2" t="s">
        <v>307</v>
      </c>
      <c r="H63" s="2" t="s">
        <v>13</v>
      </c>
      <c r="I63" s="2">
        <v>5.0</v>
      </c>
      <c r="K63" s="2">
        <v>59.0</v>
      </c>
      <c r="L63" s="2" t="s">
        <v>308</v>
      </c>
      <c r="M63" s="2" t="s">
        <v>13</v>
      </c>
      <c r="N63" s="2">
        <v>5.0</v>
      </c>
      <c r="P63" s="2">
        <v>59.0</v>
      </c>
      <c r="Q63" s="2" t="s">
        <v>309</v>
      </c>
      <c r="R63" s="2" t="s">
        <v>17</v>
      </c>
      <c r="S63" s="2">
        <v>10.0</v>
      </c>
      <c r="U63" s="2">
        <v>59.0</v>
      </c>
      <c r="V63" s="2" t="s">
        <v>310</v>
      </c>
      <c r="W63" s="2" t="s">
        <v>17</v>
      </c>
      <c r="X63" s="2">
        <v>10.0</v>
      </c>
    </row>
    <row r="64">
      <c r="A64" s="2">
        <v>60.0</v>
      </c>
      <c r="B64" s="2" t="s">
        <v>311</v>
      </c>
      <c r="C64" s="2" t="s">
        <v>13</v>
      </c>
      <c r="D64" s="4">
        <v>5.0</v>
      </c>
      <c r="F64" s="2">
        <v>60.0</v>
      </c>
      <c r="G64" s="2" t="s">
        <v>312</v>
      </c>
      <c r="H64" s="2" t="s">
        <v>13</v>
      </c>
      <c r="I64" s="2">
        <v>5.0</v>
      </c>
      <c r="K64" s="2">
        <v>60.0</v>
      </c>
      <c r="L64" s="2" t="s">
        <v>313</v>
      </c>
      <c r="M64" s="2" t="s">
        <v>13</v>
      </c>
      <c r="N64" s="2">
        <v>5.0</v>
      </c>
      <c r="P64" s="2">
        <v>60.0</v>
      </c>
      <c r="Q64" s="2" t="s">
        <v>314</v>
      </c>
      <c r="R64" s="2" t="s">
        <v>17</v>
      </c>
      <c r="S64" s="2">
        <v>10.0</v>
      </c>
      <c r="U64" s="2">
        <v>60.0</v>
      </c>
      <c r="V64" s="2" t="s">
        <v>315</v>
      </c>
      <c r="W64" s="2" t="s">
        <v>17</v>
      </c>
      <c r="X64" s="2">
        <v>10.0</v>
      </c>
    </row>
    <row r="65">
      <c r="A65" s="2">
        <v>61.0</v>
      </c>
      <c r="B65" s="2" t="s">
        <v>316</v>
      </c>
      <c r="C65" s="2" t="s">
        <v>13</v>
      </c>
      <c r="D65" s="4">
        <v>5.0</v>
      </c>
      <c r="F65" s="2">
        <v>61.0</v>
      </c>
      <c r="G65" s="2" t="s">
        <v>317</v>
      </c>
      <c r="H65" s="2" t="s">
        <v>13</v>
      </c>
      <c r="I65" s="2">
        <v>10.0</v>
      </c>
      <c r="K65" s="2">
        <v>61.0</v>
      </c>
      <c r="L65" s="2" t="s">
        <v>318</v>
      </c>
      <c r="M65" s="2" t="s">
        <v>13</v>
      </c>
      <c r="N65" s="2">
        <v>5.0</v>
      </c>
      <c r="P65" s="2">
        <v>61.0</v>
      </c>
      <c r="Q65" s="2" t="s">
        <v>319</v>
      </c>
      <c r="R65" s="2" t="s">
        <v>17</v>
      </c>
      <c r="S65" s="2">
        <v>10.0</v>
      </c>
      <c r="U65" s="2">
        <v>61.0</v>
      </c>
      <c r="V65" s="2" t="s">
        <v>320</v>
      </c>
      <c r="W65" s="2" t="s">
        <v>17</v>
      </c>
      <c r="X65" s="2">
        <v>10.0</v>
      </c>
    </row>
    <row r="66">
      <c r="A66" s="2">
        <v>62.0</v>
      </c>
      <c r="B66" s="2" t="s">
        <v>321</v>
      </c>
      <c r="C66" s="2" t="s">
        <v>13</v>
      </c>
      <c r="D66" s="4">
        <v>5.0</v>
      </c>
      <c r="F66" s="2">
        <v>62.0</v>
      </c>
      <c r="G66" s="2" t="s">
        <v>322</v>
      </c>
      <c r="H66" s="2" t="s">
        <v>13</v>
      </c>
      <c r="I66" s="2">
        <v>5.0</v>
      </c>
      <c r="K66" s="2">
        <v>62.0</v>
      </c>
      <c r="L66" s="2" t="s">
        <v>323</v>
      </c>
      <c r="M66" s="2" t="s">
        <v>13</v>
      </c>
      <c r="N66" s="2">
        <v>5.0</v>
      </c>
      <c r="P66" s="2">
        <v>62.0</v>
      </c>
      <c r="Q66" s="2" t="s">
        <v>324</v>
      </c>
      <c r="R66" s="2" t="s">
        <v>17</v>
      </c>
      <c r="S66" s="2">
        <v>10.0</v>
      </c>
      <c r="U66" s="2">
        <v>62.0</v>
      </c>
      <c r="V66" s="2" t="s">
        <v>325</v>
      </c>
      <c r="W66" s="2" t="s">
        <v>17</v>
      </c>
      <c r="X66" s="2">
        <v>5.0</v>
      </c>
    </row>
    <row r="67">
      <c r="A67" s="2">
        <v>63.0</v>
      </c>
      <c r="B67" s="2" t="s">
        <v>326</v>
      </c>
      <c r="C67" s="2" t="s">
        <v>13</v>
      </c>
      <c r="D67" s="4">
        <v>5.0</v>
      </c>
      <c r="F67" s="2">
        <v>63.0</v>
      </c>
      <c r="G67" s="2" t="s">
        <v>327</v>
      </c>
      <c r="H67" s="2" t="s">
        <v>13</v>
      </c>
      <c r="I67" s="2">
        <v>10.0</v>
      </c>
      <c r="K67" s="2">
        <v>63.0</v>
      </c>
      <c r="L67" s="2" t="s">
        <v>328</v>
      </c>
      <c r="M67" s="2" t="s">
        <v>13</v>
      </c>
      <c r="N67" s="2">
        <v>10.0</v>
      </c>
      <c r="P67" s="2">
        <v>63.0</v>
      </c>
      <c r="Q67" s="2" t="s">
        <v>329</v>
      </c>
      <c r="R67" s="2" t="s">
        <v>17</v>
      </c>
      <c r="S67" s="2">
        <v>10.0</v>
      </c>
      <c r="U67" s="2">
        <v>63.0</v>
      </c>
      <c r="V67" s="2" t="s">
        <v>330</v>
      </c>
      <c r="W67" s="2" t="s">
        <v>17</v>
      </c>
      <c r="X67" s="2">
        <v>10.0</v>
      </c>
    </row>
    <row r="68">
      <c r="A68" s="2">
        <v>64.0</v>
      </c>
      <c r="B68" s="2" t="s">
        <v>331</v>
      </c>
      <c r="C68" s="2" t="s">
        <v>13</v>
      </c>
      <c r="D68" s="3">
        <v>10.0</v>
      </c>
      <c r="F68" s="2">
        <v>64.0</v>
      </c>
      <c r="G68" s="2" t="s">
        <v>332</v>
      </c>
      <c r="H68" s="2" t="s">
        <v>13</v>
      </c>
      <c r="I68" s="2">
        <v>5.0</v>
      </c>
      <c r="K68" s="2">
        <v>64.0</v>
      </c>
      <c r="L68" s="2" t="s">
        <v>333</v>
      </c>
      <c r="M68" s="2" t="s">
        <v>13</v>
      </c>
      <c r="N68" s="2">
        <v>10.0</v>
      </c>
      <c r="P68" s="2">
        <v>64.0</v>
      </c>
      <c r="Q68" s="2" t="s">
        <v>334</v>
      </c>
      <c r="R68" s="2" t="s">
        <v>17</v>
      </c>
      <c r="S68" s="2">
        <v>5.0</v>
      </c>
      <c r="U68" s="2">
        <v>64.0</v>
      </c>
      <c r="V68" s="2" t="s">
        <v>335</v>
      </c>
      <c r="W68" s="2" t="s">
        <v>17</v>
      </c>
      <c r="X68" s="2">
        <v>10.0</v>
      </c>
    </row>
    <row r="69">
      <c r="A69" s="2">
        <v>65.0</v>
      </c>
      <c r="B69" s="2" t="s">
        <v>336</v>
      </c>
      <c r="C69" s="2" t="s">
        <v>13</v>
      </c>
      <c r="D69" s="4">
        <v>5.0</v>
      </c>
      <c r="F69" s="2">
        <v>65.0</v>
      </c>
      <c r="G69" s="2" t="s">
        <v>337</v>
      </c>
      <c r="H69" s="2" t="s">
        <v>13</v>
      </c>
      <c r="I69" s="2">
        <v>10.0</v>
      </c>
      <c r="K69" s="2">
        <v>65.0</v>
      </c>
      <c r="L69" s="2" t="s">
        <v>338</v>
      </c>
      <c r="M69" s="2" t="s">
        <v>13</v>
      </c>
      <c r="N69" s="2">
        <v>5.0</v>
      </c>
      <c r="P69" s="2">
        <v>65.0</v>
      </c>
      <c r="Q69" s="2" t="s">
        <v>339</v>
      </c>
      <c r="R69" s="2" t="s">
        <v>17</v>
      </c>
      <c r="S69" s="2">
        <v>10.0</v>
      </c>
      <c r="U69" s="2">
        <v>65.0</v>
      </c>
      <c r="V69" s="2" t="s">
        <v>340</v>
      </c>
      <c r="W69" s="2" t="s">
        <v>17</v>
      </c>
      <c r="X69" s="2">
        <v>5.0</v>
      </c>
    </row>
    <row r="70">
      <c r="A70" s="2">
        <v>66.0</v>
      </c>
      <c r="B70" s="2" t="s">
        <v>341</v>
      </c>
      <c r="C70" s="2" t="s">
        <v>13</v>
      </c>
      <c r="D70" s="4">
        <v>5.0</v>
      </c>
      <c r="F70" s="2">
        <v>66.0</v>
      </c>
      <c r="G70" s="2" t="s">
        <v>342</v>
      </c>
      <c r="H70" s="2" t="s">
        <v>13</v>
      </c>
      <c r="I70" s="2">
        <v>10.0</v>
      </c>
      <c r="K70" s="2">
        <v>66.0</v>
      </c>
      <c r="L70" s="2" t="s">
        <v>343</v>
      </c>
      <c r="M70" s="2" t="s">
        <v>13</v>
      </c>
      <c r="N70" s="2">
        <v>5.0</v>
      </c>
      <c r="P70" s="2">
        <v>66.0</v>
      </c>
      <c r="Q70" s="2" t="s">
        <v>344</v>
      </c>
      <c r="R70" s="2" t="s">
        <v>17</v>
      </c>
      <c r="S70" s="2">
        <v>10.0</v>
      </c>
      <c r="U70" s="2">
        <v>66.0</v>
      </c>
      <c r="V70" s="2" t="s">
        <v>345</v>
      </c>
      <c r="W70" s="2" t="s">
        <v>17</v>
      </c>
      <c r="X70" s="2">
        <v>10.0</v>
      </c>
    </row>
    <row r="71">
      <c r="A71" s="2">
        <v>67.0</v>
      </c>
      <c r="B71" s="2" t="s">
        <v>346</v>
      </c>
      <c r="C71" s="2" t="s">
        <v>13</v>
      </c>
      <c r="D71" s="4">
        <v>10.0</v>
      </c>
      <c r="F71" s="2">
        <v>67.0</v>
      </c>
      <c r="G71" s="2" t="s">
        <v>347</v>
      </c>
      <c r="H71" s="2" t="s">
        <v>13</v>
      </c>
      <c r="I71" s="2">
        <v>10.0</v>
      </c>
      <c r="K71" s="2">
        <v>67.0</v>
      </c>
      <c r="L71" s="2" t="s">
        <v>348</v>
      </c>
      <c r="M71" s="2" t="s">
        <v>13</v>
      </c>
      <c r="N71" s="2">
        <v>5.0</v>
      </c>
      <c r="P71" s="2">
        <v>67.0</v>
      </c>
      <c r="Q71" s="2" t="s">
        <v>349</v>
      </c>
      <c r="R71" s="2" t="s">
        <v>17</v>
      </c>
      <c r="S71" s="2">
        <v>5.0</v>
      </c>
      <c r="U71" s="2">
        <v>67.0</v>
      </c>
      <c r="V71" s="2" t="s">
        <v>350</v>
      </c>
      <c r="W71" s="2" t="s">
        <v>17</v>
      </c>
      <c r="X71" s="2">
        <v>5.0</v>
      </c>
    </row>
    <row r="72">
      <c r="A72" s="2">
        <v>68.0</v>
      </c>
      <c r="B72" s="2" t="s">
        <v>351</v>
      </c>
      <c r="C72" s="2" t="s">
        <v>13</v>
      </c>
      <c r="D72" s="4">
        <v>5.0</v>
      </c>
      <c r="F72" s="2">
        <v>68.0</v>
      </c>
      <c r="G72" s="2" t="s">
        <v>352</v>
      </c>
      <c r="H72" s="2" t="s">
        <v>13</v>
      </c>
      <c r="I72" s="2">
        <v>5.0</v>
      </c>
      <c r="K72" s="2">
        <v>68.0</v>
      </c>
      <c r="L72" s="2" t="s">
        <v>353</v>
      </c>
      <c r="M72" s="2" t="s">
        <v>13</v>
      </c>
      <c r="N72" s="2">
        <v>10.0</v>
      </c>
      <c r="P72" s="2">
        <v>68.0</v>
      </c>
      <c r="Q72" s="2" t="s">
        <v>354</v>
      </c>
      <c r="R72" s="2" t="s">
        <v>17</v>
      </c>
      <c r="S72" s="2">
        <v>5.0</v>
      </c>
      <c r="U72" s="2">
        <v>68.0</v>
      </c>
      <c r="V72" s="2" t="s">
        <v>355</v>
      </c>
      <c r="W72" s="2" t="s">
        <v>17</v>
      </c>
      <c r="X72" s="2">
        <v>10.0</v>
      </c>
    </row>
    <row r="73">
      <c r="A73" s="2">
        <v>69.0</v>
      </c>
      <c r="B73" s="2" t="s">
        <v>356</v>
      </c>
      <c r="C73" s="2" t="s">
        <v>13</v>
      </c>
      <c r="D73" s="4">
        <v>5.0</v>
      </c>
      <c r="F73" s="2">
        <v>69.0</v>
      </c>
      <c r="G73" s="2" t="s">
        <v>357</v>
      </c>
      <c r="H73" s="2" t="s">
        <v>13</v>
      </c>
      <c r="I73" s="2">
        <v>10.0</v>
      </c>
      <c r="K73" s="2">
        <v>69.0</v>
      </c>
      <c r="L73" s="2" t="s">
        <v>358</v>
      </c>
      <c r="M73" s="2" t="s">
        <v>13</v>
      </c>
      <c r="N73" s="2">
        <v>5.0</v>
      </c>
      <c r="P73" s="2">
        <v>69.0</v>
      </c>
      <c r="Q73" s="2" t="s">
        <v>359</v>
      </c>
      <c r="R73" s="2" t="s">
        <v>17</v>
      </c>
      <c r="S73" s="2">
        <v>10.0</v>
      </c>
      <c r="U73" s="2">
        <v>69.0</v>
      </c>
      <c r="V73" s="2" t="s">
        <v>360</v>
      </c>
      <c r="W73" s="2" t="s">
        <v>17</v>
      </c>
      <c r="X73" s="2">
        <v>5.0</v>
      </c>
    </row>
    <row r="74">
      <c r="A74" s="2">
        <v>70.0</v>
      </c>
      <c r="B74" s="2" t="s">
        <v>361</v>
      </c>
      <c r="C74" s="2" t="s">
        <v>13</v>
      </c>
      <c r="D74" s="4">
        <v>5.0</v>
      </c>
      <c r="F74" s="2">
        <v>70.0</v>
      </c>
      <c r="G74" s="2" t="s">
        <v>362</v>
      </c>
      <c r="H74" s="2" t="s">
        <v>13</v>
      </c>
      <c r="I74" s="2">
        <v>10.0</v>
      </c>
      <c r="K74" s="2">
        <v>70.0</v>
      </c>
      <c r="L74" s="2" t="s">
        <v>363</v>
      </c>
      <c r="M74" s="2" t="s">
        <v>13</v>
      </c>
      <c r="N74" s="2">
        <v>5.0</v>
      </c>
      <c r="P74" s="2">
        <v>70.0</v>
      </c>
      <c r="Q74" s="2" t="s">
        <v>364</v>
      </c>
      <c r="R74" s="2" t="s">
        <v>17</v>
      </c>
      <c r="S74" s="2">
        <v>5.0</v>
      </c>
      <c r="U74" s="2">
        <v>70.0</v>
      </c>
      <c r="V74" s="2" t="s">
        <v>365</v>
      </c>
      <c r="W74" s="2" t="s">
        <v>17</v>
      </c>
      <c r="X74" s="2">
        <v>5.0</v>
      </c>
    </row>
    <row r="75">
      <c r="A75" s="2">
        <v>71.0</v>
      </c>
      <c r="B75" s="2" t="s">
        <v>366</v>
      </c>
      <c r="C75" s="2" t="s">
        <v>13</v>
      </c>
      <c r="D75" s="4">
        <v>5.0</v>
      </c>
      <c r="F75" s="2">
        <v>71.0</v>
      </c>
      <c r="G75" s="2" t="s">
        <v>367</v>
      </c>
      <c r="H75" s="2" t="s">
        <v>13</v>
      </c>
      <c r="I75" s="2">
        <v>5.0</v>
      </c>
      <c r="K75" s="2">
        <v>71.0</v>
      </c>
      <c r="L75" s="2" t="s">
        <v>368</v>
      </c>
      <c r="M75" s="2" t="s">
        <v>13</v>
      </c>
      <c r="N75" s="2">
        <v>10.0</v>
      </c>
      <c r="P75" s="2">
        <v>71.0</v>
      </c>
      <c r="Q75" s="2" t="s">
        <v>369</v>
      </c>
      <c r="R75" s="2" t="s">
        <v>17</v>
      </c>
      <c r="S75" s="2">
        <v>10.0</v>
      </c>
      <c r="U75" s="2">
        <v>71.0</v>
      </c>
      <c r="V75" s="2" t="s">
        <v>370</v>
      </c>
      <c r="W75" s="2" t="s">
        <v>17</v>
      </c>
      <c r="X75" s="2">
        <v>5.0</v>
      </c>
    </row>
    <row r="76">
      <c r="A76" s="2">
        <v>72.0</v>
      </c>
      <c r="B76" s="2" t="s">
        <v>371</v>
      </c>
      <c r="C76" s="2" t="s">
        <v>13</v>
      </c>
      <c r="D76" s="4">
        <v>10.0</v>
      </c>
      <c r="F76" s="2">
        <v>72.0</v>
      </c>
      <c r="G76" s="2" t="s">
        <v>372</v>
      </c>
      <c r="H76" s="2" t="s">
        <v>13</v>
      </c>
      <c r="I76" s="2">
        <v>5.0</v>
      </c>
      <c r="K76" s="2">
        <v>72.0</v>
      </c>
      <c r="L76" s="2" t="s">
        <v>373</v>
      </c>
      <c r="M76" s="2" t="s">
        <v>13</v>
      </c>
      <c r="N76" s="2">
        <v>5.0</v>
      </c>
      <c r="P76" s="2">
        <v>72.0</v>
      </c>
      <c r="Q76" s="2" t="s">
        <v>374</v>
      </c>
      <c r="R76" s="2" t="s">
        <v>17</v>
      </c>
      <c r="S76" s="2">
        <v>10.0</v>
      </c>
      <c r="U76" s="2">
        <v>72.0</v>
      </c>
      <c r="V76" s="2" t="s">
        <v>375</v>
      </c>
      <c r="W76" s="2" t="s">
        <v>17</v>
      </c>
      <c r="X76" s="2">
        <v>10.0</v>
      </c>
    </row>
    <row r="77">
      <c r="A77" s="2">
        <v>73.0</v>
      </c>
      <c r="B77" s="2" t="s">
        <v>376</v>
      </c>
      <c r="C77" s="2" t="s">
        <v>13</v>
      </c>
      <c r="D77" s="4">
        <v>10.0</v>
      </c>
      <c r="F77" s="2">
        <v>73.0</v>
      </c>
      <c r="G77" s="2" t="s">
        <v>377</v>
      </c>
      <c r="H77" s="2" t="s">
        <v>13</v>
      </c>
      <c r="I77" s="2">
        <v>10.0</v>
      </c>
      <c r="P77" s="2">
        <v>73.0</v>
      </c>
      <c r="Q77" s="2" t="s">
        <v>378</v>
      </c>
      <c r="R77" s="2" t="s">
        <v>17</v>
      </c>
      <c r="S77" s="2">
        <v>10.0</v>
      </c>
      <c r="U77" s="2">
        <v>73.0</v>
      </c>
      <c r="V77" s="2" t="s">
        <v>379</v>
      </c>
      <c r="W77" s="2" t="s">
        <v>17</v>
      </c>
      <c r="X77" s="2">
        <v>5.0</v>
      </c>
    </row>
    <row r="78">
      <c r="A78" s="2">
        <v>74.0</v>
      </c>
      <c r="B78" s="2" t="s">
        <v>380</v>
      </c>
      <c r="C78" s="2" t="s">
        <v>13</v>
      </c>
      <c r="D78" s="4">
        <v>10.0</v>
      </c>
      <c r="F78" s="2">
        <v>74.0</v>
      </c>
      <c r="G78" s="2" t="s">
        <v>381</v>
      </c>
      <c r="H78" s="2" t="s">
        <v>13</v>
      </c>
      <c r="I78" s="2">
        <v>10.0</v>
      </c>
      <c r="K78" s="2">
        <v>74.0</v>
      </c>
      <c r="L78" s="2" t="s">
        <v>382</v>
      </c>
      <c r="M78" s="2" t="s">
        <v>13</v>
      </c>
      <c r="N78" s="2">
        <v>10.0</v>
      </c>
      <c r="P78" s="2">
        <v>74.0</v>
      </c>
      <c r="Q78" s="2" t="s">
        <v>383</v>
      </c>
      <c r="R78" s="2" t="s">
        <v>17</v>
      </c>
      <c r="S78" s="2">
        <v>5.0</v>
      </c>
      <c r="U78" s="2">
        <v>74.0</v>
      </c>
      <c r="V78" s="2" t="s">
        <v>384</v>
      </c>
      <c r="W78" s="2" t="s">
        <v>17</v>
      </c>
      <c r="X78" s="2">
        <v>10.0</v>
      </c>
    </row>
    <row r="79">
      <c r="A79" s="2">
        <v>75.0</v>
      </c>
      <c r="B79" s="2" t="s">
        <v>385</v>
      </c>
      <c r="C79" s="2" t="s">
        <v>13</v>
      </c>
      <c r="D79" s="4">
        <v>5.0</v>
      </c>
      <c r="F79" s="2">
        <v>75.0</v>
      </c>
      <c r="G79" s="2" t="s">
        <v>386</v>
      </c>
      <c r="H79" s="2" t="s">
        <v>13</v>
      </c>
      <c r="I79" s="2">
        <v>5.0</v>
      </c>
      <c r="K79" s="2">
        <v>75.0</v>
      </c>
      <c r="L79" s="2" t="s">
        <v>387</v>
      </c>
      <c r="M79" s="2" t="s">
        <v>13</v>
      </c>
      <c r="N79" s="2">
        <v>10.0</v>
      </c>
      <c r="P79" s="2">
        <v>75.0</v>
      </c>
      <c r="Q79" s="2" t="s">
        <v>388</v>
      </c>
      <c r="R79" s="2" t="s">
        <v>17</v>
      </c>
      <c r="S79" s="2">
        <v>5.0</v>
      </c>
      <c r="U79" s="2">
        <v>75.0</v>
      </c>
      <c r="V79" s="2" t="s">
        <v>389</v>
      </c>
      <c r="W79" s="2" t="s">
        <v>17</v>
      </c>
      <c r="X79" s="2">
        <v>10.0</v>
      </c>
    </row>
    <row r="80">
      <c r="A80" s="2">
        <v>76.0</v>
      </c>
      <c r="B80" s="2" t="s">
        <v>390</v>
      </c>
      <c r="C80" s="2" t="s">
        <v>13</v>
      </c>
      <c r="D80" s="4">
        <v>5.0</v>
      </c>
      <c r="F80" s="2">
        <v>76.0</v>
      </c>
      <c r="G80" s="2" t="s">
        <v>391</v>
      </c>
      <c r="H80" s="2" t="s">
        <v>13</v>
      </c>
      <c r="I80" s="2">
        <v>10.0</v>
      </c>
      <c r="K80" s="2">
        <v>76.0</v>
      </c>
      <c r="L80" s="2" t="s">
        <v>392</v>
      </c>
      <c r="M80" s="2" t="s">
        <v>13</v>
      </c>
      <c r="N80" s="2">
        <v>10.0</v>
      </c>
      <c r="P80" s="2">
        <v>76.0</v>
      </c>
      <c r="Q80" s="2" t="s">
        <v>393</v>
      </c>
      <c r="R80" s="2" t="s">
        <v>17</v>
      </c>
      <c r="S80" s="2">
        <v>5.0</v>
      </c>
      <c r="U80" s="2">
        <v>76.0</v>
      </c>
      <c r="V80" s="2" t="s">
        <v>394</v>
      </c>
      <c r="W80" s="2" t="s">
        <v>17</v>
      </c>
      <c r="X80" s="2">
        <v>10.0</v>
      </c>
    </row>
    <row r="81">
      <c r="A81" s="2">
        <v>77.0</v>
      </c>
      <c r="B81" s="2" t="s">
        <v>395</v>
      </c>
      <c r="C81" s="2" t="s">
        <v>13</v>
      </c>
      <c r="D81" s="3">
        <v>10.0</v>
      </c>
      <c r="F81" s="2">
        <v>77.0</v>
      </c>
      <c r="G81" s="2" t="s">
        <v>396</v>
      </c>
      <c r="H81" s="2" t="s">
        <v>13</v>
      </c>
      <c r="I81" s="2">
        <v>5.0</v>
      </c>
      <c r="K81" s="2">
        <v>77.0</v>
      </c>
      <c r="L81" s="2" t="s">
        <v>397</v>
      </c>
      <c r="M81" s="2" t="s">
        <v>13</v>
      </c>
      <c r="N81" s="2">
        <v>5.0</v>
      </c>
      <c r="P81" s="2">
        <v>77.0</v>
      </c>
      <c r="Q81" s="2" t="s">
        <v>398</v>
      </c>
      <c r="R81" s="2" t="s">
        <v>17</v>
      </c>
      <c r="S81" s="2">
        <v>5.0</v>
      </c>
      <c r="U81" s="2">
        <v>77.0</v>
      </c>
      <c r="V81" s="2" t="s">
        <v>399</v>
      </c>
      <c r="W81" s="2" t="s">
        <v>17</v>
      </c>
      <c r="X81" s="2">
        <v>10.0</v>
      </c>
    </row>
    <row r="82">
      <c r="A82" s="2">
        <v>78.0</v>
      </c>
      <c r="B82" s="2" t="s">
        <v>400</v>
      </c>
      <c r="C82" s="2" t="s">
        <v>13</v>
      </c>
      <c r="D82" s="4">
        <v>10.0</v>
      </c>
      <c r="F82" s="2">
        <v>78.0</v>
      </c>
      <c r="G82" s="2" t="s">
        <v>401</v>
      </c>
      <c r="H82" s="2" t="s">
        <v>13</v>
      </c>
      <c r="I82" s="2">
        <v>10.0</v>
      </c>
      <c r="K82" s="2">
        <v>78.0</v>
      </c>
      <c r="L82" s="2" t="s">
        <v>402</v>
      </c>
      <c r="M82" s="2" t="s">
        <v>13</v>
      </c>
      <c r="N82" s="2">
        <v>5.0</v>
      </c>
      <c r="P82" s="2">
        <v>78.0</v>
      </c>
      <c r="Q82" s="2" t="s">
        <v>403</v>
      </c>
      <c r="R82" s="2" t="s">
        <v>17</v>
      </c>
      <c r="S82" s="2">
        <v>5.0</v>
      </c>
      <c r="U82" s="2">
        <v>78.0</v>
      </c>
      <c r="V82" s="2" t="s">
        <v>404</v>
      </c>
      <c r="W82" s="2" t="s">
        <v>17</v>
      </c>
      <c r="X82" s="2">
        <v>5.0</v>
      </c>
    </row>
    <row r="83">
      <c r="A83" s="2">
        <v>79.0</v>
      </c>
      <c r="B83" s="2" t="s">
        <v>405</v>
      </c>
      <c r="C83" s="2" t="s">
        <v>13</v>
      </c>
      <c r="D83" s="4">
        <v>5.0</v>
      </c>
      <c r="F83" s="2">
        <v>79.0</v>
      </c>
      <c r="G83" s="2" t="s">
        <v>406</v>
      </c>
      <c r="H83" s="2" t="s">
        <v>13</v>
      </c>
      <c r="I83" s="2">
        <v>5.0</v>
      </c>
      <c r="K83" s="2">
        <v>79.0</v>
      </c>
      <c r="L83" s="2" t="s">
        <v>407</v>
      </c>
      <c r="M83" s="2" t="s">
        <v>13</v>
      </c>
      <c r="N83" s="2">
        <v>5.0</v>
      </c>
      <c r="P83" s="2">
        <v>79.0</v>
      </c>
      <c r="Q83" s="2" t="s">
        <v>408</v>
      </c>
      <c r="R83" s="2" t="s">
        <v>17</v>
      </c>
      <c r="S83" s="2">
        <v>5.0</v>
      </c>
      <c r="U83" s="2">
        <v>79.0</v>
      </c>
      <c r="V83" s="2" t="s">
        <v>409</v>
      </c>
      <c r="W83" s="2" t="s">
        <v>17</v>
      </c>
      <c r="X83" s="2">
        <v>10.0</v>
      </c>
    </row>
    <row r="84">
      <c r="A84" s="2">
        <v>80.0</v>
      </c>
      <c r="B84" s="2" t="s">
        <v>410</v>
      </c>
      <c r="C84" s="2" t="s">
        <v>13</v>
      </c>
      <c r="D84" s="4">
        <v>10.0</v>
      </c>
      <c r="F84" s="2">
        <v>80.0</v>
      </c>
      <c r="G84" s="2" t="s">
        <v>411</v>
      </c>
      <c r="H84" s="2" t="s">
        <v>13</v>
      </c>
      <c r="I84" s="2">
        <v>5.0</v>
      </c>
      <c r="K84" s="2">
        <v>80.0</v>
      </c>
      <c r="L84" s="2" t="s">
        <v>412</v>
      </c>
      <c r="M84" s="2" t="s">
        <v>13</v>
      </c>
      <c r="N84" s="2">
        <v>5.0</v>
      </c>
      <c r="P84" s="2">
        <v>80.0</v>
      </c>
      <c r="Q84" s="2" t="s">
        <v>413</v>
      </c>
      <c r="R84" s="2" t="s">
        <v>17</v>
      </c>
      <c r="S84" s="2">
        <v>10.0</v>
      </c>
      <c r="U84" s="2">
        <v>80.0</v>
      </c>
      <c r="V84" s="2" t="s">
        <v>414</v>
      </c>
      <c r="W84" s="2" t="s">
        <v>17</v>
      </c>
      <c r="X84" s="2">
        <v>5.0</v>
      </c>
    </row>
    <row r="85">
      <c r="A85" s="2">
        <v>81.0</v>
      </c>
      <c r="B85" s="2" t="s">
        <v>415</v>
      </c>
      <c r="C85" s="2" t="s">
        <v>13</v>
      </c>
      <c r="D85" s="4">
        <v>5.0</v>
      </c>
      <c r="F85" s="2">
        <v>81.0</v>
      </c>
      <c r="G85" s="2" t="s">
        <v>416</v>
      </c>
      <c r="H85" s="2" t="s">
        <v>13</v>
      </c>
      <c r="I85" s="2">
        <v>10.0</v>
      </c>
      <c r="K85" s="2">
        <v>81.0</v>
      </c>
      <c r="L85" s="2" t="s">
        <v>417</v>
      </c>
      <c r="M85" s="2" t="s">
        <v>13</v>
      </c>
      <c r="N85" s="2">
        <v>5.0</v>
      </c>
      <c r="P85" s="2">
        <v>81.0</v>
      </c>
      <c r="Q85" s="2" t="s">
        <v>418</v>
      </c>
      <c r="R85" s="2" t="s">
        <v>17</v>
      </c>
      <c r="S85" s="2">
        <v>5.0</v>
      </c>
      <c r="U85" s="2">
        <v>81.0</v>
      </c>
      <c r="V85" s="2" t="s">
        <v>419</v>
      </c>
      <c r="W85" s="2" t="s">
        <v>17</v>
      </c>
      <c r="X85" s="2">
        <v>10.0</v>
      </c>
    </row>
    <row r="86">
      <c r="A86" s="2">
        <v>82.0</v>
      </c>
      <c r="B86" s="2" t="s">
        <v>420</v>
      </c>
      <c r="C86" s="2" t="s">
        <v>13</v>
      </c>
      <c r="D86" s="4">
        <v>10.0</v>
      </c>
      <c r="F86" s="2">
        <v>82.0</v>
      </c>
      <c r="G86" s="2" t="s">
        <v>421</v>
      </c>
      <c r="H86" s="2" t="s">
        <v>13</v>
      </c>
      <c r="I86" s="2">
        <v>5.0</v>
      </c>
      <c r="P86" s="2">
        <v>82.0</v>
      </c>
      <c r="Q86" s="2" t="s">
        <v>422</v>
      </c>
      <c r="R86" s="2" t="s">
        <v>17</v>
      </c>
      <c r="S86" s="2">
        <v>10.0</v>
      </c>
      <c r="U86" s="2">
        <v>82.0</v>
      </c>
      <c r="V86" s="2" t="s">
        <v>423</v>
      </c>
      <c r="W86" s="2" t="s">
        <v>17</v>
      </c>
      <c r="X86" s="2">
        <v>5.0</v>
      </c>
    </row>
    <row r="87">
      <c r="A87" s="2">
        <v>83.0</v>
      </c>
      <c r="B87" s="2" t="s">
        <v>424</v>
      </c>
      <c r="C87" s="2" t="s">
        <v>13</v>
      </c>
      <c r="D87" s="4">
        <v>10.0</v>
      </c>
      <c r="F87" s="2">
        <v>83.0</v>
      </c>
      <c r="G87" s="2" t="s">
        <v>425</v>
      </c>
      <c r="H87" s="2" t="s">
        <v>13</v>
      </c>
      <c r="I87" s="2">
        <v>5.0</v>
      </c>
      <c r="K87" s="2">
        <v>83.0</v>
      </c>
      <c r="L87" s="2" t="s">
        <v>426</v>
      </c>
      <c r="M87" s="2" t="s">
        <v>13</v>
      </c>
      <c r="N87" s="2">
        <v>10.0</v>
      </c>
      <c r="P87" s="2">
        <v>83.0</v>
      </c>
      <c r="Q87" s="2" t="s">
        <v>427</v>
      </c>
      <c r="R87" s="2" t="s">
        <v>17</v>
      </c>
      <c r="S87" s="2">
        <v>10.0</v>
      </c>
      <c r="U87" s="2">
        <v>83.0</v>
      </c>
      <c r="V87" s="2" t="s">
        <v>428</v>
      </c>
      <c r="W87" s="2" t="s">
        <v>17</v>
      </c>
      <c r="X87" s="2">
        <v>10.0</v>
      </c>
    </row>
    <row r="88">
      <c r="A88" s="2">
        <v>84.0</v>
      </c>
      <c r="B88" s="2" t="s">
        <v>429</v>
      </c>
      <c r="C88" s="2" t="s">
        <v>13</v>
      </c>
      <c r="D88" s="4">
        <v>10.0</v>
      </c>
      <c r="F88" s="2">
        <v>84.0</v>
      </c>
      <c r="G88" s="2" t="s">
        <v>430</v>
      </c>
      <c r="H88" s="2" t="s">
        <v>13</v>
      </c>
      <c r="I88" s="2">
        <v>5.0</v>
      </c>
      <c r="K88" s="2">
        <v>84.0</v>
      </c>
      <c r="L88" s="2" t="s">
        <v>431</v>
      </c>
      <c r="M88" s="2" t="s">
        <v>13</v>
      </c>
      <c r="N88" s="2">
        <v>10.0</v>
      </c>
      <c r="P88" s="2">
        <v>84.0</v>
      </c>
      <c r="Q88" s="2" t="s">
        <v>432</v>
      </c>
      <c r="R88" s="2" t="s">
        <v>17</v>
      </c>
      <c r="S88" s="2">
        <v>10.0</v>
      </c>
      <c r="U88" s="2">
        <v>84.0</v>
      </c>
      <c r="V88" s="2" t="s">
        <v>433</v>
      </c>
      <c r="W88" s="2" t="s">
        <v>17</v>
      </c>
      <c r="X88" s="2">
        <v>5.0</v>
      </c>
    </row>
    <row r="89">
      <c r="A89" s="2">
        <v>85.0</v>
      </c>
      <c r="B89" s="2" t="s">
        <v>434</v>
      </c>
      <c r="C89" s="2" t="s">
        <v>13</v>
      </c>
      <c r="D89" s="4">
        <v>10.0</v>
      </c>
      <c r="F89" s="2">
        <v>85.0</v>
      </c>
      <c r="G89" s="2" t="s">
        <v>435</v>
      </c>
      <c r="H89" s="2" t="s">
        <v>13</v>
      </c>
      <c r="I89" s="2">
        <v>10.0</v>
      </c>
      <c r="K89" s="2">
        <v>85.0</v>
      </c>
      <c r="L89" s="2" t="s">
        <v>436</v>
      </c>
      <c r="M89" s="2" t="s">
        <v>13</v>
      </c>
      <c r="N89" s="2">
        <v>10.0</v>
      </c>
      <c r="P89" s="2">
        <v>85.0</v>
      </c>
      <c r="Q89" s="2" t="s">
        <v>437</v>
      </c>
      <c r="R89" s="2" t="s">
        <v>17</v>
      </c>
      <c r="S89" s="2">
        <v>5.0</v>
      </c>
      <c r="U89" s="2">
        <v>85.0</v>
      </c>
      <c r="V89" s="2" t="s">
        <v>438</v>
      </c>
      <c r="W89" s="2" t="s">
        <v>17</v>
      </c>
      <c r="X89" s="2">
        <v>10.0</v>
      </c>
    </row>
    <row r="90">
      <c r="A90" s="2">
        <v>86.0</v>
      </c>
      <c r="B90" s="2" t="s">
        <v>439</v>
      </c>
      <c r="C90" s="2" t="s">
        <v>13</v>
      </c>
      <c r="D90" s="4">
        <v>5.0</v>
      </c>
      <c r="F90" s="2">
        <v>86.0</v>
      </c>
      <c r="G90" s="2" t="s">
        <v>440</v>
      </c>
      <c r="H90" s="2" t="s">
        <v>13</v>
      </c>
      <c r="I90" s="2">
        <v>10.0</v>
      </c>
      <c r="K90" s="2">
        <v>86.0</v>
      </c>
      <c r="L90" s="2" t="s">
        <v>441</v>
      </c>
      <c r="M90" s="2" t="s">
        <v>13</v>
      </c>
      <c r="N90" s="2">
        <v>10.0</v>
      </c>
      <c r="P90" s="2">
        <v>86.0</v>
      </c>
      <c r="Q90" s="2" t="s">
        <v>442</v>
      </c>
      <c r="R90" s="2" t="s">
        <v>17</v>
      </c>
      <c r="S90" s="2">
        <v>10.0</v>
      </c>
      <c r="U90" s="2">
        <v>86.0</v>
      </c>
      <c r="V90" s="2" t="s">
        <v>443</v>
      </c>
      <c r="W90" s="2" t="s">
        <v>17</v>
      </c>
      <c r="X90" s="2">
        <v>10.0</v>
      </c>
    </row>
    <row r="91">
      <c r="A91" s="2">
        <v>87.0</v>
      </c>
      <c r="B91" s="2" t="s">
        <v>444</v>
      </c>
      <c r="C91" s="2" t="s">
        <v>13</v>
      </c>
      <c r="D91" s="4">
        <v>5.0</v>
      </c>
      <c r="F91" s="2">
        <v>87.0</v>
      </c>
      <c r="G91" s="2" t="s">
        <v>445</v>
      </c>
      <c r="H91" s="2" t="s">
        <v>13</v>
      </c>
      <c r="I91" s="2">
        <v>5.0</v>
      </c>
      <c r="K91" s="2">
        <v>87.0</v>
      </c>
      <c r="L91" s="2" t="s">
        <v>446</v>
      </c>
      <c r="M91" s="2" t="s">
        <v>13</v>
      </c>
      <c r="N91" s="2">
        <v>5.0</v>
      </c>
      <c r="P91" s="2">
        <v>87.0</v>
      </c>
      <c r="Q91" s="2" t="s">
        <v>447</v>
      </c>
      <c r="R91" s="2" t="s">
        <v>17</v>
      </c>
      <c r="S91" s="2">
        <v>5.0</v>
      </c>
      <c r="U91" s="2">
        <v>87.0</v>
      </c>
      <c r="V91" s="2" t="s">
        <v>448</v>
      </c>
      <c r="W91" s="2" t="s">
        <v>17</v>
      </c>
      <c r="X91" s="2">
        <v>10.0</v>
      </c>
    </row>
    <row r="92">
      <c r="A92" s="2">
        <v>88.0</v>
      </c>
      <c r="B92" s="2" t="s">
        <v>449</v>
      </c>
      <c r="C92" s="2" t="s">
        <v>13</v>
      </c>
      <c r="D92" s="4">
        <v>10.0</v>
      </c>
      <c r="F92" s="2">
        <v>88.0</v>
      </c>
      <c r="G92" s="2" t="s">
        <v>450</v>
      </c>
      <c r="H92" s="2" t="s">
        <v>13</v>
      </c>
      <c r="I92" s="2">
        <v>5.0</v>
      </c>
      <c r="K92" s="2">
        <v>88.0</v>
      </c>
      <c r="L92" s="2" t="s">
        <v>451</v>
      </c>
      <c r="M92" s="2" t="s">
        <v>13</v>
      </c>
      <c r="N92" s="2">
        <v>5.0</v>
      </c>
      <c r="P92" s="2">
        <v>88.0</v>
      </c>
      <c r="Q92" s="2" t="s">
        <v>452</v>
      </c>
      <c r="R92" s="2" t="s">
        <v>17</v>
      </c>
      <c r="S92" s="2">
        <v>10.0</v>
      </c>
      <c r="U92" s="2">
        <v>88.0</v>
      </c>
      <c r="V92" s="2" t="s">
        <v>453</v>
      </c>
      <c r="W92" s="2" t="s">
        <v>17</v>
      </c>
      <c r="X92" s="2">
        <v>5.0</v>
      </c>
    </row>
    <row r="93">
      <c r="A93" s="2">
        <v>89.0</v>
      </c>
      <c r="B93" s="2" t="s">
        <v>454</v>
      </c>
      <c r="C93" s="2" t="s">
        <v>13</v>
      </c>
      <c r="D93" s="4">
        <v>10.0</v>
      </c>
      <c r="F93" s="2">
        <v>89.0</v>
      </c>
      <c r="G93" s="2" t="s">
        <v>455</v>
      </c>
      <c r="H93" s="2" t="s">
        <v>13</v>
      </c>
      <c r="I93" s="2">
        <v>5.0</v>
      </c>
      <c r="K93" s="2">
        <v>89.0</v>
      </c>
      <c r="L93" s="2" t="s">
        <v>456</v>
      </c>
      <c r="M93" s="2" t="s">
        <v>13</v>
      </c>
      <c r="N93" s="2">
        <v>5.0</v>
      </c>
      <c r="P93" s="2">
        <v>89.0</v>
      </c>
      <c r="Q93" s="2" t="s">
        <v>457</v>
      </c>
      <c r="R93" s="2" t="s">
        <v>17</v>
      </c>
      <c r="S93" s="2">
        <v>10.0</v>
      </c>
      <c r="U93" s="2">
        <v>89.0</v>
      </c>
      <c r="V93" s="2" t="s">
        <v>458</v>
      </c>
      <c r="W93" s="2" t="s">
        <v>17</v>
      </c>
      <c r="X93" s="2">
        <v>10.0</v>
      </c>
    </row>
    <row r="94">
      <c r="A94" s="2">
        <v>90.0</v>
      </c>
      <c r="B94" s="2" t="s">
        <v>459</v>
      </c>
      <c r="C94" s="2" t="s">
        <v>13</v>
      </c>
      <c r="D94" s="3">
        <v>10.0</v>
      </c>
      <c r="F94" s="2">
        <v>90.0</v>
      </c>
      <c r="G94" s="2" t="s">
        <v>460</v>
      </c>
      <c r="H94" s="2" t="s">
        <v>13</v>
      </c>
      <c r="I94" s="2">
        <v>10.0</v>
      </c>
      <c r="K94" s="2">
        <v>90.0</v>
      </c>
      <c r="L94" s="2" t="s">
        <v>461</v>
      </c>
      <c r="M94" s="2" t="s">
        <v>13</v>
      </c>
      <c r="N94" s="2">
        <v>10.0</v>
      </c>
      <c r="P94" s="2">
        <v>90.0</v>
      </c>
      <c r="Q94" s="2" t="s">
        <v>462</v>
      </c>
      <c r="R94" s="2" t="s">
        <v>17</v>
      </c>
      <c r="S94" s="2">
        <v>5.0</v>
      </c>
      <c r="U94" s="2">
        <v>90.0</v>
      </c>
      <c r="V94" s="2" t="s">
        <v>463</v>
      </c>
      <c r="W94" s="2" t="s">
        <v>17</v>
      </c>
      <c r="X94" s="2">
        <v>10.0</v>
      </c>
    </row>
    <row r="95">
      <c r="A95" s="2">
        <v>91.0</v>
      </c>
      <c r="B95" s="2" t="s">
        <v>464</v>
      </c>
      <c r="C95" s="2" t="s">
        <v>13</v>
      </c>
      <c r="D95" s="4">
        <v>5.0</v>
      </c>
      <c r="F95" s="2">
        <v>91.0</v>
      </c>
      <c r="G95" s="2" t="s">
        <v>465</v>
      </c>
      <c r="H95" s="2" t="s">
        <v>13</v>
      </c>
      <c r="I95" s="2">
        <v>5.0</v>
      </c>
      <c r="K95" s="2">
        <v>91.0</v>
      </c>
      <c r="L95" s="2" t="s">
        <v>466</v>
      </c>
      <c r="M95" s="2" t="s">
        <v>13</v>
      </c>
      <c r="N95" s="2">
        <v>10.0</v>
      </c>
      <c r="P95" s="2">
        <v>91.0</v>
      </c>
      <c r="Q95" s="2" t="s">
        <v>467</v>
      </c>
      <c r="R95" s="2" t="s">
        <v>17</v>
      </c>
      <c r="S95" s="2">
        <v>10.0</v>
      </c>
      <c r="U95" s="2">
        <v>91.0</v>
      </c>
      <c r="V95" s="2" t="s">
        <v>468</v>
      </c>
      <c r="W95" s="2" t="s">
        <v>17</v>
      </c>
      <c r="X95" s="2">
        <v>5.0</v>
      </c>
    </row>
    <row r="96">
      <c r="A96" s="2">
        <v>92.0</v>
      </c>
      <c r="B96" s="2" t="s">
        <v>469</v>
      </c>
      <c r="C96" s="2" t="s">
        <v>13</v>
      </c>
      <c r="D96" s="4">
        <v>5.0</v>
      </c>
      <c r="F96" s="2">
        <v>92.0</v>
      </c>
      <c r="G96" s="2" t="s">
        <v>470</v>
      </c>
      <c r="H96" s="2" t="s">
        <v>13</v>
      </c>
      <c r="I96" s="2">
        <v>10.0</v>
      </c>
      <c r="K96" s="2">
        <v>92.0</v>
      </c>
      <c r="L96" s="2" t="s">
        <v>471</v>
      </c>
      <c r="M96" s="2" t="s">
        <v>13</v>
      </c>
      <c r="N96" s="2">
        <v>10.0</v>
      </c>
      <c r="P96" s="2">
        <v>92.0</v>
      </c>
      <c r="Q96" s="2" t="s">
        <v>472</v>
      </c>
      <c r="R96" s="2" t="s">
        <v>17</v>
      </c>
      <c r="S96" s="2">
        <v>5.0</v>
      </c>
      <c r="U96" s="2">
        <v>92.0</v>
      </c>
      <c r="V96" s="2" t="s">
        <v>473</v>
      </c>
      <c r="W96" s="2" t="s">
        <v>17</v>
      </c>
      <c r="X96" s="2">
        <v>5.0</v>
      </c>
    </row>
    <row r="97">
      <c r="A97" s="2">
        <v>93.0</v>
      </c>
      <c r="B97" s="2" t="s">
        <v>474</v>
      </c>
      <c r="C97" s="2" t="s">
        <v>13</v>
      </c>
      <c r="D97" s="4">
        <v>5.0</v>
      </c>
      <c r="F97" s="2">
        <v>93.0</v>
      </c>
      <c r="G97" s="2" t="s">
        <v>475</v>
      </c>
      <c r="H97" s="2" t="s">
        <v>13</v>
      </c>
      <c r="I97" s="2">
        <v>5.0</v>
      </c>
      <c r="K97" s="2">
        <v>93.0</v>
      </c>
      <c r="L97" s="2" t="s">
        <v>476</v>
      </c>
      <c r="M97" s="2" t="s">
        <v>13</v>
      </c>
      <c r="N97" s="2">
        <v>10.0</v>
      </c>
      <c r="P97" s="2">
        <v>93.0</v>
      </c>
      <c r="Q97" s="2" t="s">
        <v>477</v>
      </c>
      <c r="R97" s="2" t="s">
        <v>17</v>
      </c>
      <c r="S97" s="2">
        <v>5.0</v>
      </c>
      <c r="U97" s="2">
        <v>93.0</v>
      </c>
      <c r="V97" s="2" t="s">
        <v>478</v>
      </c>
      <c r="W97" s="2" t="s">
        <v>17</v>
      </c>
      <c r="X97" s="2">
        <v>5.0</v>
      </c>
    </row>
    <row r="98">
      <c r="A98" s="2">
        <v>94.0</v>
      </c>
      <c r="B98" s="2" t="s">
        <v>479</v>
      </c>
      <c r="C98" s="2" t="s">
        <v>13</v>
      </c>
      <c r="D98" s="4">
        <v>10.0</v>
      </c>
      <c r="F98" s="2">
        <v>94.0</v>
      </c>
      <c r="G98" s="2" t="s">
        <v>480</v>
      </c>
      <c r="H98" s="2" t="s">
        <v>13</v>
      </c>
      <c r="I98" s="2">
        <v>10.0</v>
      </c>
      <c r="K98" s="2">
        <v>94.0</v>
      </c>
      <c r="L98" s="2" t="s">
        <v>481</v>
      </c>
      <c r="M98" s="2" t="s">
        <v>13</v>
      </c>
      <c r="N98" s="2">
        <v>10.0</v>
      </c>
      <c r="P98" s="2">
        <v>94.0</v>
      </c>
      <c r="Q98" s="2" t="s">
        <v>482</v>
      </c>
      <c r="R98" s="2" t="s">
        <v>17</v>
      </c>
      <c r="S98" s="2">
        <v>5.0</v>
      </c>
      <c r="U98" s="2">
        <v>94.0</v>
      </c>
      <c r="V98" s="2" t="s">
        <v>483</v>
      </c>
      <c r="W98" s="2" t="s">
        <v>17</v>
      </c>
      <c r="X98" s="2">
        <v>5.0</v>
      </c>
    </row>
    <row r="99">
      <c r="A99" s="2">
        <v>95.0</v>
      </c>
      <c r="B99" s="2" t="s">
        <v>484</v>
      </c>
      <c r="C99" s="2" t="s">
        <v>13</v>
      </c>
      <c r="D99" s="4">
        <v>5.0</v>
      </c>
      <c r="F99" s="2">
        <v>95.0</v>
      </c>
      <c r="G99" s="2" t="s">
        <v>485</v>
      </c>
      <c r="H99" s="2" t="s">
        <v>13</v>
      </c>
      <c r="I99" s="2">
        <v>5.0</v>
      </c>
      <c r="K99" s="2">
        <v>95.0</v>
      </c>
      <c r="L99" s="2" t="s">
        <v>486</v>
      </c>
      <c r="M99" s="2" t="s">
        <v>13</v>
      </c>
      <c r="N99" s="2">
        <v>10.0</v>
      </c>
      <c r="P99" s="2">
        <v>95.0</v>
      </c>
      <c r="Q99" s="2" t="s">
        <v>487</v>
      </c>
      <c r="R99" s="2" t="s">
        <v>17</v>
      </c>
      <c r="S99" s="2">
        <v>5.0</v>
      </c>
      <c r="U99" s="2">
        <v>95.0</v>
      </c>
      <c r="V99" s="2" t="s">
        <v>488</v>
      </c>
      <c r="W99" s="2" t="s">
        <v>17</v>
      </c>
      <c r="X99" s="2">
        <v>10.0</v>
      </c>
    </row>
    <row r="100">
      <c r="A100" s="2">
        <v>96.0</v>
      </c>
      <c r="B100" s="2" t="s">
        <v>489</v>
      </c>
      <c r="C100" s="2" t="s">
        <v>13</v>
      </c>
      <c r="D100" s="4">
        <v>5.0</v>
      </c>
      <c r="F100" s="2">
        <v>96.0</v>
      </c>
      <c r="G100" s="2" t="s">
        <v>490</v>
      </c>
      <c r="H100" s="2" t="s">
        <v>13</v>
      </c>
      <c r="I100" s="2">
        <v>10.0</v>
      </c>
      <c r="K100" s="2">
        <v>96.0</v>
      </c>
      <c r="L100" s="2" t="s">
        <v>491</v>
      </c>
      <c r="M100" s="2" t="s">
        <v>13</v>
      </c>
      <c r="N100" s="2">
        <v>5.0</v>
      </c>
      <c r="P100" s="2">
        <v>96.0</v>
      </c>
      <c r="Q100" s="2" t="s">
        <v>492</v>
      </c>
      <c r="R100" s="2" t="s">
        <v>17</v>
      </c>
      <c r="S100" s="2">
        <v>10.0</v>
      </c>
      <c r="U100" s="2">
        <v>96.0</v>
      </c>
      <c r="V100" s="2" t="s">
        <v>493</v>
      </c>
      <c r="W100" s="2" t="s">
        <v>17</v>
      </c>
      <c r="X100" s="2">
        <v>5.0</v>
      </c>
    </row>
    <row r="101">
      <c r="A101" s="2">
        <v>97.0</v>
      </c>
      <c r="B101" s="2" t="s">
        <v>494</v>
      </c>
      <c r="C101" s="2" t="s">
        <v>13</v>
      </c>
      <c r="D101" s="4">
        <v>5.0</v>
      </c>
      <c r="F101" s="2">
        <v>97.0</v>
      </c>
      <c r="G101" s="2" t="s">
        <v>495</v>
      </c>
      <c r="H101" s="2" t="s">
        <v>13</v>
      </c>
      <c r="I101" s="2">
        <v>5.0</v>
      </c>
      <c r="K101" s="2">
        <v>97.0</v>
      </c>
      <c r="L101" s="2" t="s">
        <v>496</v>
      </c>
      <c r="M101" s="2" t="s">
        <v>13</v>
      </c>
      <c r="N101" s="2">
        <v>5.0</v>
      </c>
      <c r="P101" s="2">
        <v>97.0</v>
      </c>
      <c r="Q101" s="2" t="s">
        <v>497</v>
      </c>
      <c r="R101" s="2" t="s">
        <v>17</v>
      </c>
      <c r="S101" s="2">
        <v>10.0</v>
      </c>
      <c r="U101" s="2">
        <v>97.0</v>
      </c>
      <c r="V101" s="2" t="s">
        <v>498</v>
      </c>
      <c r="W101" s="2" t="s">
        <v>17</v>
      </c>
      <c r="X101" s="2">
        <v>5.0</v>
      </c>
    </row>
    <row r="102">
      <c r="A102" s="2">
        <v>98.0</v>
      </c>
      <c r="B102" s="2" t="s">
        <v>499</v>
      </c>
      <c r="C102" s="2" t="s">
        <v>13</v>
      </c>
      <c r="D102" s="4">
        <v>5.0</v>
      </c>
      <c r="F102" s="2">
        <v>98.0</v>
      </c>
      <c r="G102" s="2" t="s">
        <v>500</v>
      </c>
      <c r="H102" s="2" t="s">
        <v>13</v>
      </c>
      <c r="I102" s="2">
        <v>10.0</v>
      </c>
      <c r="K102" s="2">
        <v>98.0</v>
      </c>
      <c r="L102" s="2" t="s">
        <v>501</v>
      </c>
      <c r="M102" s="2" t="s">
        <v>13</v>
      </c>
      <c r="N102" s="2">
        <v>5.0</v>
      </c>
      <c r="P102" s="2">
        <v>98.0</v>
      </c>
      <c r="Q102" s="2" t="s">
        <v>502</v>
      </c>
      <c r="R102" s="2" t="s">
        <v>17</v>
      </c>
      <c r="S102" s="2">
        <v>10.0</v>
      </c>
      <c r="U102" s="2">
        <v>98.0</v>
      </c>
      <c r="V102" s="2" t="s">
        <v>503</v>
      </c>
      <c r="W102" s="2" t="s">
        <v>17</v>
      </c>
      <c r="X102" s="2">
        <v>10.0</v>
      </c>
    </row>
    <row r="103">
      <c r="D103" s="4"/>
      <c r="F103" s="2">
        <v>99.0</v>
      </c>
      <c r="G103" s="2" t="s">
        <v>504</v>
      </c>
      <c r="H103" s="2" t="s">
        <v>13</v>
      </c>
      <c r="I103" s="2">
        <v>10.0</v>
      </c>
      <c r="K103" s="2">
        <v>99.0</v>
      </c>
      <c r="L103" s="2" t="s">
        <v>505</v>
      </c>
      <c r="M103" s="2" t="s">
        <v>13</v>
      </c>
      <c r="N103" s="2">
        <v>10.0</v>
      </c>
      <c r="P103" s="2">
        <v>99.0</v>
      </c>
      <c r="Q103" s="2" t="s">
        <v>506</v>
      </c>
      <c r="R103" s="2" t="s">
        <v>17</v>
      </c>
      <c r="S103" s="2">
        <v>10.0</v>
      </c>
      <c r="U103" s="2">
        <v>99.0</v>
      </c>
      <c r="V103" s="2" t="s">
        <v>507</v>
      </c>
      <c r="W103" s="2" t="s">
        <v>17</v>
      </c>
      <c r="X103" s="2">
        <v>10.0</v>
      </c>
    </row>
    <row r="104">
      <c r="A104" s="2">
        <v>100.0</v>
      </c>
      <c r="B104" s="2" t="s">
        <v>508</v>
      </c>
      <c r="C104" s="2" t="s">
        <v>13</v>
      </c>
      <c r="D104" s="4">
        <v>5.0</v>
      </c>
      <c r="F104" s="2">
        <v>100.0</v>
      </c>
      <c r="G104" s="2" t="s">
        <v>509</v>
      </c>
      <c r="H104" s="2" t="s">
        <v>13</v>
      </c>
      <c r="I104" s="2">
        <v>10.0</v>
      </c>
      <c r="P104" s="2">
        <v>100.0</v>
      </c>
      <c r="Q104" s="2" t="s">
        <v>510</v>
      </c>
      <c r="R104" s="2" t="s">
        <v>17</v>
      </c>
      <c r="S104" s="2">
        <v>5.0</v>
      </c>
      <c r="U104" s="2">
        <v>100.0</v>
      </c>
      <c r="V104" s="2" t="s">
        <v>511</v>
      </c>
      <c r="W104" s="2" t="s">
        <v>17</v>
      </c>
      <c r="X104" s="2">
        <v>10.0</v>
      </c>
    </row>
    <row r="105">
      <c r="A105" s="2">
        <v>101.0</v>
      </c>
      <c r="B105" s="2" t="s">
        <v>512</v>
      </c>
      <c r="C105" s="2" t="s">
        <v>13</v>
      </c>
      <c r="D105" s="4">
        <v>10.0</v>
      </c>
      <c r="F105" s="2">
        <v>101.0</v>
      </c>
      <c r="G105" s="2" t="s">
        <v>513</v>
      </c>
      <c r="H105" s="2" t="s">
        <v>13</v>
      </c>
      <c r="I105" s="2">
        <v>5.0</v>
      </c>
      <c r="K105" s="2">
        <v>101.0</v>
      </c>
      <c r="L105" s="2" t="s">
        <v>514</v>
      </c>
      <c r="M105" s="2" t="s">
        <v>13</v>
      </c>
      <c r="N105" s="2">
        <v>5.0</v>
      </c>
      <c r="P105" s="2">
        <v>101.0</v>
      </c>
      <c r="Q105" s="2" t="s">
        <v>515</v>
      </c>
      <c r="R105" s="2" t="s">
        <v>17</v>
      </c>
      <c r="S105" s="2">
        <v>5.0</v>
      </c>
      <c r="U105" s="2">
        <v>101.0</v>
      </c>
      <c r="V105" s="2" t="s">
        <v>516</v>
      </c>
      <c r="W105" s="2" t="s">
        <v>17</v>
      </c>
      <c r="X105" s="2">
        <v>5.0</v>
      </c>
    </row>
    <row r="106">
      <c r="A106" s="2">
        <v>102.0</v>
      </c>
      <c r="B106" s="2" t="s">
        <v>517</v>
      </c>
      <c r="C106" s="2" t="s">
        <v>13</v>
      </c>
      <c r="D106" s="4">
        <v>5.0</v>
      </c>
      <c r="F106" s="2">
        <v>102.0</v>
      </c>
      <c r="G106" s="2" t="s">
        <v>518</v>
      </c>
      <c r="H106" s="2" t="s">
        <v>13</v>
      </c>
      <c r="I106" s="2">
        <v>10.0</v>
      </c>
      <c r="K106" s="2">
        <v>102.0</v>
      </c>
      <c r="L106" s="2" t="s">
        <v>519</v>
      </c>
      <c r="M106" s="2" t="s">
        <v>13</v>
      </c>
      <c r="N106" s="2">
        <v>10.0</v>
      </c>
      <c r="P106" s="2">
        <v>102.0</v>
      </c>
      <c r="Q106" s="2" t="s">
        <v>520</v>
      </c>
      <c r="R106" s="2" t="s">
        <v>17</v>
      </c>
      <c r="S106" s="2">
        <v>10.0</v>
      </c>
      <c r="U106" s="2">
        <v>102.0</v>
      </c>
      <c r="V106" s="2" t="s">
        <v>521</v>
      </c>
      <c r="W106" s="2" t="s">
        <v>17</v>
      </c>
      <c r="X106" s="2">
        <v>5.0</v>
      </c>
    </row>
    <row r="107">
      <c r="A107" s="2">
        <v>103.0</v>
      </c>
      <c r="B107" s="2" t="s">
        <v>522</v>
      </c>
      <c r="C107" s="2" t="s">
        <v>13</v>
      </c>
      <c r="D107" s="3">
        <v>5.0</v>
      </c>
      <c r="F107" s="2">
        <v>103.0</v>
      </c>
      <c r="G107" s="2" t="s">
        <v>523</v>
      </c>
      <c r="H107" s="2" t="s">
        <v>13</v>
      </c>
      <c r="I107" s="2">
        <v>10.0</v>
      </c>
      <c r="K107" s="2">
        <v>103.0</v>
      </c>
      <c r="L107" s="2" t="s">
        <v>524</v>
      </c>
      <c r="M107" s="2" t="s">
        <v>13</v>
      </c>
      <c r="N107" s="2">
        <v>5.0</v>
      </c>
      <c r="P107" s="2">
        <v>103.0</v>
      </c>
      <c r="Q107" s="2" t="s">
        <v>525</v>
      </c>
      <c r="R107" s="2" t="s">
        <v>17</v>
      </c>
      <c r="S107" s="2">
        <v>10.0</v>
      </c>
      <c r="U107" s="2">
        <v>103.0</v>
      </c>
      <c r="V107" s="2" t="s">
        <v>526</v>
      </c>
      <c r="W107" s="2" t="s">
        <v>17</v>
      </c>
      <c r="X107" s="2">
        <v>5.0</v>
      </c>
    </row>
    <row r="108">
      <c r="A108" s="2">
        <v>104.0</v>
      </c>
      <c r="B108" s="2" t="s">
        <v>527</v>
      </c>
      <c r="C108" s="2" t="s">
        <v>13</v>
      </c>
      <c r="D108" s="4">
        <v>10.0</v>
      </c>
      <c r="F108" s="2">
        <v>104.0</v>
      </c>
      <c r="G108" s="2" t="s">
        <v>528</v>
      </c>
      <c r="H108" s="2" t="s">
        <v>13</v>
      </c>
      <c r="I108" s="2">
        <v>10.0</v>
      </c>
      <c r="K108" s="2">
        <v>104.0</v>
      </c>
      <c r="L108" s="2" t="s">
        <v>529</v>
      </c>
      <c r="M108" s="2" t="s">
        <v>13</v>
      </c>
      <c r="N108" s="2">
        <v>5.0</v>
      </c>
      <c r="P108" s="2">
        <v>104.0</v>
      </c>
      <c r="Q108" s="2" t="s">
        <v>530</v>
      </c>
      <c r="R108" s="2" t="s">
        <v>17</v>
      </c>
      <c r="S108" s="2">
        <v>5.0</v>
      </c>
      <c r="U108" s="2">
        <v>104.0</v>
      </c>
      <c r="V108" s="2" t="s">
        <v>531</v>
      </c>
      <c r="W108" s="2" t="s">
        <v>17</v>
      </c>
      <c r="X108" s="2">
        <v>10.0</v>
      </c>
    </row>
    <row r="109">
      <c r="A109" s="2">
        <v>105.0</v>
      </c>
      <c r="B109" s="2" t="s">
        <v>532</v>
      </c>
      <c r="C109" s="2" t="s">
        <v>13</v>
      </c>
      <c r="D109" s="4">
        <v>5.0</v>
      </c>
      <c r="F109" s="2">
        <v>105.0</v>
      </c>
      <c r="G109" s="2" t="s">
        <v>533</v>
      </c>
      <c r="H109" s="2" t="s">
        <v>13</v>
      </c>
      <c r="I109" s="2">
        <v>10.0</v>
      </c>
      <c r="K109" s="2">
        <v>105.0</v>
      </c>
      <c r="L109" s="2" t="s">
        <v>534</v>
      </c>
      <c r="M109" s="2" t="s">
        <v>13</v>
      </c>
      <c r="N109" s="2">
        <v>5.0</v>
      </c>
      <c r="P109" s="2">
        <v>105.0</v>
      </c>
      <c r="Q109" s="2" t="s">
        <v>535</v>
      </c>
      <c r="R109" s="2" t="s">
        <v>17</v>
      </c>
      <c r="S109" s="2">
        <v>5.0</v>
      </c>
      <c r="U109" s="2">
        <v>105.0</v>
      </c>
      <c r="V109" s="2" t="s">
        <v>536</v>
      </c>
      <c r="W109" s="2" t="s">
        <v>17</v>
      </c>
      <c r="X109" s="2">
        <v>10.0</v>
      </c>
    </row>
    <row r="110">
      <c r="A110" s="2">
        <v>106.0</v>
      </c>
      <c r="B110" s="2" t="s">
        <v>537</v>
      </c>
      <c r="C110" s="2" t="s">
        <v>13</v>
      </c>
      <c r="D110" s="4">
        <v>10.0</v>
      </c>
      <c r="F110" s="2">
        <v>106.0</v>
      </c>
      <c r="G110" s="2" t="s">
        <v>538</v>
      </c>
      <c r="H110" s="2" t="s">
        <v>13</v>
      </c>
      <c r="I110" s="2">
        <v>10.0</v>
      </c>
      <c r="K110" s="2">
        <v>106.0</v>
      </c>
      <c r="L110" s="2" t="s">
        <v>539</v>
      </c>
      <c r="M110" s="2" t="s">
        <v>13</v>
      </c>
      <c r="N110" s="2">
        <v>5.0</v>
      </c>
      <c r="P110" s="2">
        <v>106.0</v>
      </c>
      <c r="Q110" s="2" t="s">
        <v>540</v>
      </c>
      <c r="R110" s="2" t="s">
        <v>17</v>
      </c>
      <c r="S110" s="2">
        <v>5.0</v>
      </c>
      <c r="U110" s="2">
        <v>106.0</v>
      </c>
      <c r="V110" s="2" t="s">
        <v>541</v>
      </c>
      <c r="W110" s="2" t="s">
        <v>17</v>
      </c>
      <c r="X110" s="2">
        <v>10.0</v>
      </c>
    </row>
    <row r="111">
      <c r="A111" s="2">
        <v>107.0</v>
      </c>
      <c r="B111" s="2" t="s">
        <v>542</v>
      </c>
      <c r="C111" s="2" t="s">
        <v>13</v>
      </c>
      <c r="D111" s="4">
        <v>5.0</v>
      </c>
      <c r="F111" s="2">
        <v>107.0</v>
      </c>
      <c r="G111" s="2" t="s">
        <v>543</v>
      </c>
      <c r="H111" s="2" t="s">
        <v>13</v>
      </c>
      <c r="I111" s="2">
        <v>5.0</v>
      </c>
      <c r="K111" s="2">
        <v>107.0</v>
      </c>
      <c r="L111" s="2" t="s">
        <v>544</v>
      </c>
      <c r="M111" s="2" t="s">
        <v>13</v>
      </c>
      <c r="N111" s="2">
        <v>5.0</v>
      </c>
      <c r="P111" s="2">
        <v>107.0</v>
      </c>
      <c r="Q111" s="2" t="s">
        <v>545</v>
      </c>
      <c r="R111" s="2" t="s">
        <v>17</v>
      </c>
      <c r="S111" s="2">
        <v>5.0</v>
      </c>
      <c r="U111" s="2">
        <v>107.0</v>
      </c>
      <c r="V111" s="2" t="s">
        <v>546</v>
      </c>
      <c r="W111" s="2" t="s">
        <v>17</v>
      </c>
      <c r="X111" s="2">
        <v>5.0</v>
      </c>
    </row>
    <row r="112">
      <c r="A112" s="2">
        <v>108.0</v>
      </c>
      <c r="B112" s="2" t="s">
        <v>547</v>
      </c>
      <c r="C112" s="2" t="s">
        <v>13</v>
      </c>
      <c r="D112" s="4">
        <v>5.0</v>
      </c>
      <c r="F112" s="2">
        <v>108.0</v>
      </c>
      <c r="G112" s="2" t="s">
        <v>548</v>
      </c>
      <c r="H112" s="2" t="s">
        <v>13</v>
      </c>
      <c r="I112" s="2">
        <v>10.0</v>
      </c>
      <c r="K112" s="2">
        <v>108.0</v>
      </c>
      <c r="L112" s="2" t="s">
        <v>549</v>
      </c>
      <c r="M112" s="2" t="s">
        <v>13</v>
      </c>
      <c r="N112" s="2">
        <v>10.0</v>
      </c>
      <c r="P112" s="2">
        <v>108.0</v>
      </c>
      <c r="Q112" s="2" t="s">
        <v>550</v>
      </c>
      <c r="R112" s="2" t="s">
        <v>17</v>
      </c>
      <c r="S112" s="2">
        <v>5.0</v>
      </c>
      <c r="U112" s="2">
        <v>108.0</v>
      </c>
      <c r="V112" s="2" t="s">
        <v>551</v>
      </c>
      <c r="W112" s="2" t="s">
        <v>17</v>
      </c>
      <c r="X112" s="2">
        <v>5.0</v>
      </c>
    </row>
    <row r="113">
      <c r="A113" s="2">
        <v>109.0</v>
      </c>
      <c r="B113" s="2" t="s">
        <v>552</v>
      </c>
      <c r="C113" s="2" t="s">
        <v>13</v>
      </c>
      <c r="D113" s="4">
        <v>5.0</v>
      </c>
      <c r="F113" s="2">
        <v>109.0</v>
      </c>
      <c r="G113" s="2" t="s">
        <v>553</v>
      </c>
      <c r="H113" s="2" t="s">
        <v>13</v>
      </c>
      <c r="I113" s="2">
        <v>5.0</v>
      </c>
      <c r="K113" s="2">
        <v>109.0</v>
      </c>
      <c r="L113" s="2" t="s">
        <v>554</v>
      </c>
      <c r="M113" s="2" t="s">
        <v>13</v>
      </c>
      <c r="N113" s="2">
        <v>5.0</v>
      </c>
      <c r="P113" s="2">
        <v>109.0</v>
      </c>
      <c r="Q113" s="2" t="s">
        <v>555</v>
      </c>
      <c r="R113" s="2" t="s">
        <v>17</v>
      </c>
      <c r="S113" s="2">
        <v>10.0</v>
      </c>
      <c r="U113" s="2">
        <v>109.0</v>
      </c>
      <c r="V113" s="2" t="s">
        <v>556</v>
      </c>
      <c r="W113" s="2" t="s">
        <v>17</v>
      </c>
      <c r="X113" s="2">
        <v>5.0</v>
      </c>
    </row>
    <row r="114">
      <c r="A114" s="2">
        <v>110.0</v>
      </c>
      <c r="B114" s="2" t="s">
        <v>557</v>
      </c>
      <c r="C114" s="2" t="s">
        <v>13</v>
      </c>
      <c r="D114" s="4">
        <v>5.0</v>
      </c>
      <c r="F114" s="2">
        <v>110.0</v>
      </c>
      <c r="G114" s="2" t="s">
        <v>558</v>
      </c>
      <c r="H114" s="2" t="s">
        <v>13</v>
      </c>
      <c r="I114" s="2">
        <v>5.0</v>
      </c>
      <c r="K114" s="2">
        <v>110.0</v>
      </c>
      <c r="L114" s="2" t="s">
        <v>559</v>
      </c>
      <c r="M114" s="2" t="s">
        <v>13</v>
      </c>
      <c r="N114" s="2">
        <v>5.0</v>
      </c>
      <c r="P114" s="2">
        <v>110.0</v>
      </c>
      <c r="Q114" s="2" t="s">
        <v>560</v>
      </c>
      <c r="R114" s="2" t="s">
        <v>17</v>
      </c>
      <c r="S114" s="2">
        <v>5.0</v>
      </c>
      <c r="U114" s="2">
        <v>110.0</v>
      </c>
      <c r="V114" s="2" t="s">
        <v>561</v>
      </c>
      <c r="W114" s="2" t="s">
        <v>17</v>
      </c>
      <c r="X114" s="2">
        <v>10.0</v>
      </c>
    </row>
    <row r="115">
      <c r="A115" s="2">
        <v>111.0</v>
      </c>
      <c r="B115" s="2" t="s">
        <v>562</v>
      </c>
      <c r="C115" s="2" t="s">
        <v>13</v>
      </c>
      <c r="D115" s="4">
        <v>10.0</v>
      </c>
      <c r="F115" s="2">
        <v>111.0</v>
      </c>
      <c r="G115" s="2" t="s">
        <v>563</v>
      </c>
      <c r="H115" s="2" t="s">
        <v>13</v>
      </c>
      <c r="I115" s="2">
        <v>5.0</v>
      </c>
      <c r="K115" s="2">
        <v>111.0</v>
      </c>
      <c r="L115" s="2" t="s">
        <v>564</v>
      </c>
      <c r="M115" s="2" t="s">
        <v>13</v>
      </c>
      <c r="N115" s="2">
        <v>10.0</v>
      </c>
      <c r="P115" s="2">
        <v>111.0</v>
      </c>
      <c r="Q115" s="2" t="s">
        <v>565</v>
      </c>
      <c r="R115" s="2" t="s">
        <v>17</v>
      </c>
      <c r="S115" s="2">
        <v>10.0</v>
      </c>
      <c r="U115" s="2">
        <v>111.0</v>
      </c>
      <c r="V115" s="2" t="s">
        <v>566</v>
      </c>
      <c r="W115" s="2" t="s">
        <v>17</v>
      </c>
      <c r="X115" s="2">
        <v>10.0</v>
      </c>
    </row>
    <row r="116">
      <c r="A116" s="2">
        <v>112.0</v>
      </c>
      <c r="B116" s="2" t="s">
        <v>567</v>
      </c>
      <c r="C116" s="2" t="s">
        <v>13</v>
      </c>
      <c r="D116" s="4">
        <v>5.0</v>
      </c>
      <c r="F116" s="2">
        <v>112.0</v>
      </c>
      <c r="G116" s="2" t="s">
        <v>568</v>
      </c>
      <c r="H116" s="2" t="s">
        <v>13</v>
      </c>
      <c r="I116" s="2">
        <v>10.0</v>
      </c>
      <c r="K116" s="2">
        <v>112.0</v>
      </c>
      <c r="L116" s="2" t="s">
        <v>569</v>
      </c>
      <c r="M116" s="2" t="s">
        <v>13</v>
      </c>
      <c r="N116" s="2">
        <v>5.0</v>
      </c>
      <c r="P116" s="2">
        <v>112.0</v>
      </c>
      <c r="Q116" s="2" t="s">
        <v>570</v>
      </c>
      <c r="R116" s="2" t="s">
        <v>17</v>
      </c>
      <c r="S116" s="2">
        <v>10.0</v>
      </c>
      <c r="U116" s="2">
        <v>112.0</v>
      </c>
      <c r="V116" s="2" t="s">
        <v>571</v>
      </c>
      <c r="W116" s="2" t="s">
        <v>17</v>
      </c>
      <c r="X116" s="2">
        <v>5.0</v>
      </c>
    </row>
    <row r="117">
      <c r="A117" s="2">
        <v>113.0</v>
      </c>
      <c r="B117" s="2" t="s">
        <v>572</v>
      </c>
      <c r="C117" s="2" t="s">
        <v>13</v>
      </c>
      <c r="D117" s="4">
        <v>5.0</v>
      </c>
      <c r="F117" s="2">
        <v>113.0</v>
      </c>
      <c r="G117" s="2" t="s">
        <v>573</v>
      </c>
      <c r="H117" s="2" t="s">
        <v>13</v>
      </c>
      <c r="I117" s="2">
        <v>5.0</v>
      </c>
      <c r="K117" s="2">
        <v>113.0</v>
      </c>
      <c r="L117" s="2" t="s">
        <v>574</v>
      </c>
      <c r="M117" s="2" t="s">
        <v>13</v>
      </c>
      <c r="N117" s="2">
        <v>5.0</v>
      </c>
      <c r="P117" s="2">
        <v>113.0</v>
      </c>
      <c r="Q117" s="2" t="s">
        <v>575</v>
      </c>
      <c r="R117" s="2" t="s">
        <v>17</v>
      </c>
      <c r="S117" s="2">
        <v>10.0</v>
      </c>
      <c r="U117" s="2">
        <v>113.0</v>
      </c>
      <c r="V117" s="2" t="s">
        <v>576</v>
      </c>
      <c r="W117" s="2" t="s">
        <v>17</v>
      </c>
      <c r="X117" s="2">
        <v>5.0</v>
      </c>
    </row>
    <row r="118">
      <c r="A118" s="2">
        <v>114.0</v>
      </c>
      <c r="B118" s="2" t="s">
        <v>577</v>
      </c>
      <c r="C118" s="2" t="s">
        <v>13</v>
      </c>
      <c r="D118" s="4">
        <v>10.0</v>
      </c>
      <c r="F118" s="2">
        <v>114.0</v>
      </c>
      <c r="G118" s="2" t="s">
        <v>578</v>
      </c>
      <c r="H118" s="2" t="s">
        <v>13</v>
      </c>
      <c r="I118" s="2">
        <v>5.0</v>
      </c>
      <c r="K118" s="2">
        <v>114.0</v>
      </c>
      <c r="L118" s="2" t="s">
        <v>579</v>
      </c>
      <c r="M118" s="2" t="s">
        <v>13</v>
      </c>
      <c r="N118" s="2">
        <v>10.0</v>
      </c>
      <c r="P118" s="2">
        <v>114.0</v>
      </c>
      <c r="Q118" s="2" t="s">
        <v>580</v>
      </c>
      <c r="R118" s="2" t="s">
        <v>17</v>
      </c>
      <c r="S118" s="2">
        <v>5.0</v>
      </c>
      <c r="U118" s="2">
        <v>114.0</v>
      </c>
      <c r="V118" s="2" t="s">
        <v>581</v>
      </c>
      <c r="W118" s="2" t="s">
        <v>17</v>
      </c>
      <c r="X118" s="2">
        <v>5.0</v>
      </c>
    </row>
    <row r="119">
      <c r="A119" s="2">
        <v>115.0</v>
      </c>
      <c r="B119" s="2" t="s">
        <v>582</v>
      </c>
      <c r="C119" s="2" t="s">
        <v>13</v>
      </c>
      <c r="D119" s="4">
        <v>10.0</v>
      </c>
      <c r="F119" s="2">
        <v>115.0</v>
      </c>
      <c r="G119" s="2" t="s">
        <v>583</v>
      </c>
      <c r="H119" s="2" t="s">
        <v>13</v>
      </c>
      <c r="I119" s="2">
        <v>10.0</v>
      </c>
      <c r="P119" s="2">
        <v>115.0</v>
      </c>
      <c r="Q119" s="2" t="s">
        <v>584</v>
      </c>
      <c r="R119" s="2" t="s">
        <v>17</v>
      </c>
      <c r="S119" s="2">
        <v>10.0</v>
      </c>
      <c r="U119" s="2">
        <v>115.0</v>
      </c>
      <c r="V119" s="2" t="s">
        <v>585</v>
      </c>
      <c r="W119" s="2" t="s">
        <v>17</v>
      </c>
      <c r="X119" s="2">
        <v>5.0</v>
      </c>
    </row>
    <row r="120">
      <c r="A120" s="2">
        <v>116.0</v>
      </c>
      <c r="B120" s="2" t="s">
        <v>586</v>
      </c>
      <c r="C120" s="2" t="s">
        <v>13</v>
      </c>
      <c r="D120" s="3">
        <v>5.0</v>
      </c>
      <c r="F120" s="2">
        <v>116.0</v>
      </c>
      <c r="G120" s="2" t="s">
        <v>587</v>
      </c>
      <c r="H120" s="2" t="s">
        <v>13</v>
      </c>
      <c r="I120" s="2">
        <v>5.0</v>
      </c>
      <c r="K120" s="2">
        <v>116.0</v>
      </c>
      <c r="L120" s="2" t="s">
        <v>588</v>
      </c>
      <c r="M120" s="2" t="s">
        <v>13</v>
      </c>
      <c r="N120" s="2">
        <v>10.0</v>
      </c>
      <c r="P120" s="2">
        <v>116.0</v>
      </c>
      <c r="Q120" s="2" t="s">
        <v>589</v>
      </c>
      <c r="R120" s="2" t="s">
        <v>17</v>
      </c>
      <c r="S120" s="2">
        <v>5.0</v>
      </c>
      <c r="U120" s="2">
        <v>116.0</v>
      </c>
      <c r="V120" s="2" t="s">
        <v>590</v>
      </c>
      <c r="W120" s="2" t="s">
        <v>17</v>
      </c>
      <c r="X120" s="2">
        <v>5.0</v>
      </c>
    </row>
    <row r="121">
      <c r="A121" s="2">
        <v>117.0</v>
      </c>
      <c r="B121" s="2" t="s">
        <v>591</v>
      </c>
      <c r="C121" s="2" t="s">
        <v>13</v>
      </c>
      <c r="D121" s="4">
        <v>10.0</v>
      </c>
      <c r="F121" s="2">
        <v>117.0</v>
      </c>
      <c r="G121" s="2" t="s">
        <v>592</v>
      </c>
      <c r="H121" s="2" t="s">
        <v>13</v>
      </c>
      <c r="I121" s="2">
        <v>5.0</v>
      </c>
      <c r="K121" s="2">
        <v>117.0</v>
      </c>
      <c r="L121" s="2" t="s">
        <v>593</v>
      </c>
      <c r="M121" s="2" t="s">
        <v>13</v>
      </c>
      <c r="N121" s="2">
        <v>5.0</v>
      </c>
      <c r="P121" s="2">
        <v>117.0</v>
      </c>
      <c r="Q121" s="2" t="s">
        <v>594</v>
      </c>
      <c r="R121" s="2" t="s">
        <v>17</v>
      </c>
      <c r="S121" s="2">
        <v>5.0</v>
      </c>
      <c r="U121" s="2">
        <v>117.0</v>
      </c>
      <c r="V121" s="2" t="s">
        <v>595</v>
      </c>
      <c r="W121" s="2" t="s">
        <v>17</v>
      </c>
      <c r="X121" s="2">
        <v>5.0</v>
      </c>
    </row>
    <row r="122">
      <c r="A122" s="2">
        <v>118.0</v>
      </c>
      <c r="B122" s="2" t="s">
        <v>596</v>
      </c>
      <c r="C122" s="2" t="s">
        <v>13</v>
      </c>
      <c r="D122" s="4">
        <v>5.0</v>
      </c>
      <c r="F122" s="2">
        <v>118.0</v>
      </c>
      <c r="G122" s="2" t="s">
        <v>597</v>
      </c>
      <c r="H122" s="2" t="s">
        <v>13</v>
      </c>
      <c r="I122" s="2">
        <v>10.0</v>
      </c>
      <c r="K122" s="2">
        <v>118.0</v>
      </c>
      <c r="L122" s="2" t="s">
        <v>598</v>
      </c>
      <c r="M122" s="2" t="s">
        <v>13</v>
      </c>
      <c r="N122" s="2">
        <v>10.0</v>
      </c>
      <c r="P122" s="2">
        <v>118.0</v>
      </c>
      <c r="Q122" s="2" t="s">
        <v>599</v>
      </c>
      <c r="R122" s="2" t="s">
        <v>17</v>
      </c>
      <c r="S122" s="2">
        <v>10.0</v>
      </c>
      <c r="U122" s="2">
        <v>118.0</v>
      </c>
      <c r="V122" s="2" t="s">
        <v>600</v>
      </c>
      <c r="W122" s="2" t="s">
        <v>17</v>
      </c>
      <c r="X122" s="2">
        <v>5.0</v>
      </c>
    </row>
    <row r="123">
      <c r="A123" s="2">
        <v>119.0</v>
      </c>
      <c r="B123" s="2" t="s">
        <v>601</v>
      </c>
      <c r="C123" s="2" t="s">
        <v>13</v>
      </c>
      <c r="D123" s="4">
        <v>10.0</v>
      </c>
      <c r="F123" s="2">
        <v>119.0</v>
      </c>
      <c r="G123" s="2" t="s">
        <v>602</v>
      </c>
      <c r="H123" s="2" t="s">
        <v>13</v>
      </c>
      <c r="I123" s="2">
        <v>10.0</v>
      </c>
      <c r="K123" s="2">
        <v>119.0</v>
      </c>
      <c r="L123" s="2" t="s">
        <v>603</v>
      </c>
      <c r="M123" s="2" t="s">
        <v>13</v>
      </c>
      <c r="N123" s="2">
        <v>10.0</v>
      </c>
      <c r="P123" s="2">
        <v>119.0</v>
      </c>
      <c r="Q123" s="2" t="s">
        <v>604</v>
      </c>
      <c r="R123" s="2" t="s">
        <v>17</v>
      </c>
      <c r="S123" s="2">
        <v>5.0</v>
      </c>
      <c r="U123" s="2">
        <v>119.0</v>
      </c>
      <c r="V123" s="2" t="s">
        <v>605</v>
      </c>
      <c r="W123" s="2" t="s">
        <v>17</v>
      </c>
      <c r="X123" s="2">
        <v>5.0</v>
      </c>
    </row>
    <row r="124">
      <c r="A124" s="2">
        <v>120.0</v>
      </c>
      <c r="B124" s="2" t="s">
        <v>606</v>
      </c>
      <c r="C124" s="2" t="s">
        <v>13</v>
      </c>
      <c r="D124" s="4">
        <v>10.0</v>
      </c>
      <c r="F124" s="2">
        <v>120.0</v>
      </c>
      <c r="G124" s="2" t="s">
        <v>607</v>
      </c>
      <c r="H124" s="2" t="s">
        <v>13</v>
      </c>
      <c r="I124" s="2">
        <v>5.0</v>
      </c>
      <c r="K124" s="2">
        <v>120.0</v>
      </c>
      <c r="L124" s="2" t="s">
        <v>608</v>
      </c>
      <c r="M124" s="2" t="s">
        <v>13</v>
      </c>
      <c r="N124" s="2">
        <v>10.0</v>
      </c>
      <c r="P124" s="2">
        <v>120.0</v>
      </c>
      <c r="Q124" s="2" t="s">
        <v>609</v>
      </c>
      <c r="R124" s="2" t="s">
        <v>17</v>
      </c>
      <c r="S124" s="2">
        <v>10.0</v>
      </c>
      <c r="U124" s="2">
        <v>120.0</v>
      </c>
      <c r="V124" s="2" t="s">
        <v>610</v>
      </c>
      <c r="W124" s="2" t="s">
        <v>17</v>
      </c>
      <c r="X124" s="2">
        <v>5.0</v>
      </c>
    </row>
    <row r="125">
      <c r="A125" s="2">
        <v>121.0</v>
      </c>
      <c r="B125" s="2" t="s">
        <v>611</v>
      </c>
      <c r="C125" s="2" t="s">
        <v>13</v>
      </c>
      <c r="D125" s="4">
        <v>10.0</v>
      </c>
      <c r="F125" s="2">
        <v>121.0</v>
      </c>
      <c r="G125" s="2" t="s">
        <v>612</v>
      </c>
      <c r="H125" s="2" t="s">
        <v>13</v>
      </c>
      <c r="I125" s="2">
        <v>10.0</v>
      </c>
      <c r="K125" s="2">
        <v>121.0</v>
      </c>
      <c r="L125" s="2" t="s">
        <v>613</v>
      </c>
      <c r="M125" s="2" t="s">
        <v>13</v>
      </c>
      <c r="N125" s="2">
        <v>5.0</v>
      </c>
      <c r="P125" s="2">
        <v>121.0</v>
      </c>
      <c r="Q125" s="2" t="s">
        <v>614</v>
      </c>
      <c r="R125" s="2" t="s">
        <v>17</v>
      </c>
      <c r="S125" s="2">
        <v>10.0</v>
      </c>
      <c r="U125" s="2">
        <v>121.0</v>
      </c>
      <c r="V125" s="2" t="s">
        <v>615</v>
      </c>
      <c r="W125" s="2" t="s">
        <v>17</v>
      </c>
      <c r="X125" s="2">
        <v>5.0</v>
      </c>
    </row>
    <row r="126">
      <c r="A126" s="2">
        <v>122.0</v>
      </c>
      <c r="B126" s="2" t="s">
        <v>616</v>
      </c>
      <c r="C126" s="2" t="s">
        <v>13</v>
      </c>
      <c r="D126" s="4">
        <v>5.0</v>
      </c>
      <c r="F126" s="2">
        <v>122.0</v>
      </c>
      <c r="G126" s="2" t="s">
        <v>617</v>
      </c>
      <c r="H126" s="2" t="s">
        <v>13</v>
      </c>
      <c r="I126" s="2">
        <v>5.0</v>
      </c>
      <c r="K126" s="2">
        <v>122.0</v>
      </c>
      <c r="L126" s="2" t="s">
        <v>618</v>
      </c>
      <c r="M126" s="2" t="s">
        <v>13</v>
      </c>
      <c r="N126" s="2">
        <v>10.0</v>
      </c>
      <c r="P126" s="2">
        <v>122.0</v>
      </c>
      <c r="Q126" s="2" t="s">
        <v>619</v>
      </c>
      <c r="R126" s="2" t="s">
        <v>17</v>
      </c>
      <c r="S126" s="2">
        <v>5.0</v>
      </c>
      <c r="U126" s="2">
        <v>122.0</v>
      </c>
      <c r="V126" s="2" t="s">
        <v>620</v>
      </c>
      <c r="W126" s="2" t="s">
        <v>17</v>
      </c>
      <c r="X126" s="2">
        <v>10.0</v>
      </c>
    </row>
    <row r="127">
      <c r="A127" s="2">
        <v>123.0</v>
      </c>
      <c r="B127" s="2" t="s">
        <v>621</v>
      </c>
      <c r="C127" s="2" t="s">
        <v>13</v>
      </c>
      <c r="D127" s="4">
        <v>10.0</v>
      </c>
      <c r="F127" s="2">
        <v>123.0</v>
      </c>
      <c r="G127" s="2" t="s">
        <v>622</v>
      </c>
      <c r="H127" s="2" t="s">
        <v>13</v>
      </c>
      <c r="I127" s="2">
        <v>5.0</v>
      </c>
      <c r="K127" s="2">
        <v>123.0</v>
      </c>
      <c r="L127" s="2" t="s">
        <v>623</v>
      </c>
      <c r="M127" s="2" t="s">
        <v>13</v>
      </c>
      <c r="N127" s="2">
        <v>5.0</v>
      </c>
      <c r="P127" s="2">
        <v>123.0</v>
      </c>
      <c r="Q127" s="2" t="s">
        <v>624</v>
      </c>
      <c r="R127" s="2" t="s">
        <v>17</v>
      </c>
      <c r="S127" s="2">
        <v>5.0</v>
      </c>
      <c r="U127" s="2">
        <v>123.0</v>
      </c>
      <c r="V127" s="2" t="s">
        <v>625</v>
      </c>
      <c r="W127" s="2" t="s">
        <v>17</v>
      </c>
      <c r="X127" s="2">
        <v>5.0</v>
      </c>
    </row>
    <row r="128">
      <c r="A128" s="2">
        <v>124.0</v>
      </c>
      <c r="B128" s="2" t="s">
        <v>626</v>
      </c>
      <c r="C128" s="2" t="s">
        <v>13</v>
      </c>
      <c r="D128" s="4">
        <v>5.0</v>
      </c>
      <c r="F128" s="2">
        <v>124.0</v>
      </c>
      <c r="G128" s="2" t="s">
        <v>627</v>
      </c>
      <c r="H128" s="2" t="s">
        <v>13</v>
      </c>
      <c r="I128" s="2">
        <v>5.0</v>
      </c>
      <c r="K128" s="2">
        <v>124.0</v>
      </c>
      <c r="L128" s="2" t="s">
        <v>628</v>
      </c>
      <c r="M128" s="2" t="s">
        <v>13</v>
      </c>
      <c r="N128" s="2">
        <v>10.0</v>
      </c>
      <c r="P128" s="2">
        <v>124.0</v>
      </c>
      <c r="Q128" s="2" t="s">
        <v>629</v>
      </c>
      <c r="R128" s="2" t="s">
        <v>17</v>
      </c>
      <c r="S128" s="2">
        <v>10.0</v>
      </c>
      <c r="U128" s="2">
        <v>124.0</v>
      </c>
      <c r="V128" s="2" t="s">
        <v>630</v>
      </c>
      <c r="W128" s="2" t="s">
        <v>17</v>
      </c>
      <c r="X128" s="2">
        <v>10.0</v>
      </c>
    </row>
    <row r="129">
      <c r="A129" s="2">
        <v>125.0</v>
      </c>
      <c r="B129" s="2" t="s">
        <v>631</v>
      </c>
      <c r="C129" s="2" t="s">
        <v>13</v>
      </c>
      <c r="D129" s="4">
        <v>10.0</v>
      </c>
      <c r="F129" s="2">
        <v>125.0</v>
      </c>
      <c r="G129" s="2" t="s">
        <v>632</v>
      </c>
      <c r="H129" s="2" t="s">
        <v>13</v>
      </c>
      <c r="I129" s="2">
        <v>5.0</v>
      </c>
      <c r="K129" s="2">
        <v>125.0</v>
      </c>
      <c r="L129" s="2" t="s">
        <v>633</v>
      </c>
      <c r="M129" s="2" t="s">
        <v>13</v>
      </c>
      <c r="N129" s="2">
        <v>5.0</v>
      </c>
      <c r="P129" s="2">
        <v>125.0</v>
      </c>
      <c r="Q129" s="2" t="s">
        <v>634</v>
      </c>
      <c r="R129" s="2" t="s">
        <v>17</v>
      </c>
      <c r="S129" s="2">
        <v>10.0</v>
      </c>
      <c r="U129" s="2">
        <v>125.0</v>
      </c>
      <c r="V129" s="2" t="s">
        <v>635</v>
      </c>
      <c r="W129" s="2" t="s">
        <v>17</v>
      </c>
      <c r="X129" s="2">
        <v>5.0</v>
      </c>
    </row>
    <row r="130">
      <c r="A130" s="2">
        <v>126.0</v>
      </c>
      <c r="B130" s="2" t="s">
        <v>636</v>
      </c>
      <c r="C130" s="2" t="s">
        <v>13</v>
      </c>
      <c r="D130" s="4">
        <v>5.0</v>
      </c>
      <c r="F130" s="2">
        <v>126.0</v>
      </c>
      <c r="G130" s="2" t="s">
        <v>637</v>
      </c>
      <c r="H130" s="2" t="s">
        <v>13</v>
      </c>
      <c r="I130" s="2">
        <v>10.0</v>
      </c>
      <c r="K130" s="2">
        <v>126.0</v>
      </c>
      <c r="L130" s="2" t="s">
        <v>638</v>
      </c>
      <c r="M130" s="2" t="s">
        <v>13</v>
      </c>
      <c r="N130" s="2">
        <v>5.0</v>
      </c>
      <c r="P130" s="2">
        <v>126.0</v>
      </c>
      <c r="Q130" s="2" t="s">
        <v>639</v>
      </c>
      <c r="R130" s="2" t="s">
        <v>17</v>
      </c>
      <c r="S130" s="2">
        <v>10.0</v>
      </c>
      <c r="U130" s="2">
        <v>126.0</v>
      </c>
      <c r="V130" s="2" t="s">
        <v>640</v>
      </c>
      <c r="W130" s="2" t="s">
        <v>17</v>
      </c>
      <c r="X130" s="2">
        <v>10.0</v>
      </c>
    </row>
    <row r="131">
      <c r="A131" s="2">
        <v>127.0</v>
      </c>
      <c r="B131" s="2" t="s">
        <v>641</v>
      </c>
      <c r="C131" s="2" t="s">
        <v>13</v>
      </c>
      <c r="D131" s="4">
        <v>5.0</v>
      </c>
      <c r="F131" s="2">
        <v>127.0</v>
      </c>
      <c r="G131" s="2" t="s">
        <v>642</v>
      </c>
      <c r="H131" s="2" t="s">
        <v>13</v>
      </c>
      <c r="I131" s="2">
        <v>5.0</v>
      </c>
      <c r="K131" s="2">
        <v>127.0</v>
      </c>
      <c r="L131" s="2" t="s">
        <v>643</v>
      </c>
      <c r="M131" s="2" t="s">
        <v>13</v>
      </c>
      <c r="N131" s="2">
        <v>5.0</v>
      </c>
      <c r="P131" s="2">
        <v>127.0</v>
      </c>
      <c r="Q131" s="2" t="s">
        <v>644</v>
      </c>
      <c r="R131" s="2" t="s">
        <v>17</v>
      </c>
      <c r="S131" s="2">
        <v>5.0</v>
      </c>
      <c r="U131" s="2">
        <v>127.0</v>
      </c>
      <c r="V131" s="2" t="s">
        <v>645</v>
      </c>
      <c r="W131" s="2" t="s">
        <v>17</v>
      </c>
      <c r="X131" s="2">
        <v>10.0</v>
      </c>
    </row>
    <row r="132">
      <c r="A132" s="2">
        <v>128.0</v>
      </c>
      <c r="B132" s="2" t="s">
        <v>646</v>
      </c>
      <c r="C132" s="2" t="s">
        <v>13</v>
      </c>
      <c r="D132" s="4">
        <v>10.0</v>
      </c>
      <c r="F132" s="2">
        <v>128.0</v>
      </c>
      <c r="G132" s="2" t="s">
        <v>647</v>
      </c>
      <c r="H132" s="2" t="s">
        <v>13</v>
      </c>
      <c r="I132" s="2">
        <v>10.0</v>
      </c>
      <c r="K132" s="2">
        <v>128.0</v>
      </c>
      <c r="L132" s="2" t="s">
        <v>648</v>
      </c>
      <c r="M132" s="2" t="s">
        <v>13</v>
      </c>
      <c r="N132" s="2">
        <v>5.0</v>
      </c>
      <c r="P132" s="2">
        <v>128.0</v>
      </c>
      <c r="Q132" s="2" t="s">
        <v>649</v>
      </c>
      <c r="R132" s="2" t="s">
        <v>17</v>
      </c>
      <c r="S132" s="2">
        <v>5.0</v>
      </c>
      <c r="U132" s="2">
        <v>128.0</v>
      </c>
      <c r="V132" s="2" t="s">
        <v>650</v>
      </c>
      <c r="W132" s="2" t="s">
        <v>17</v>
      </c>
      <c r="X132" s="2">
        <v>10.0</v>
      </c>
    </row>
    <row r="133">
      <c r="A133" s="2">
        <v>129.0</v>
      </c>
      <c r="B133" s="2" t="s">
        <v>651</v>
      </c>
      <c r="C133" s="2" t="s">
        <v>13</v>
      </c>
      <c r="D133" s="3">
        <v>10.0</v>
      </c>
      <c r="F133" s="2">
        <v>129.0</v>
      </c>
      <c r="G133" s="2" t="s">
        <v>652</v>
      </c>
      <c r="H133" s="2" t="s">
        <v>13</v>
      </c>
      <c r="I133" s="2">
        <v>5.0</v>
      </c>
      <c r="K133" s="2">
        <v>129.0</v>
      </c>
      <c r="L133" s="2" t="s">
        <v>653</v>
      </c>
      <c r="M133" s="2" t="s">
        <v>13</v>
      </c>
      <c r="N133" s="2">
        <v>10.0</v>
      </c>
      <c r="P133" s="2">
        <v>129.0</v>
      </c>
      <c r="Q133" s="2" t="s">
        <v>654</v>
      </c>
      <c r="R133" s="2" t="s">
        <v>17</v>
      </c>
      <c r="S133" s="2">
        <v>10.0</v>
      </c>
      <c r="U133" s="2">
        <v>129.0</v>
      </c>
      <c r="V133" s="2" t="s">
        <v>655</v>
      </c>
      <c r="W133" s="2" t="s">
        <v>17</v>
      </c>
      <c r="X133" s="2">
        <v>5.0</v>
      </c>
    </row>
    <row r="134">
      <c r="A134" s="2">
        <v>130.0</v>
      </c>
      <c r="B134" s="2" t="s">
        <v>656</v>
      </c>
      <c r="C134" s="2" t="s">
        <v>13</v>
      </c>
      <c r="D134" s="4">
        <v>10.0</v>
      </c>
      <c r="F134" s="2">
        <v>130.0</v>
      </c>
      <c r="G134" s="2" t="s">
        <v>657</v>
      </c>
      <c r="H134" s="2" t="s">
        <v>13</v>
      </c>
      <c r="I134" s="2">
        <v>10.0</v>
      </c>
      <c r="K134" s="2">
        <v>130.0</v>
      </c>
      <c r="L134" s="2" t="s">
        <v>658</v>
      </c>
      <c r="M134" s="2" t="s">
        <v>13</v>
      </c>
      <c r="N134" s="2">
        <v>5.0</v>
      </c>
      <c r="P134" s="2">
        <v>130.0</v>
      </c>
      <c r="Q134" s="2" t="s">
        <v>659</v>
      </c>
      <c r="R134" s="2" t="s">
        <v>17</v>
      </c>
      <c r="S134" s="2">
        <v>10.0</v>
      </c>
      <c r="U134" s="2">
        <v>130.0</v>
      </c>
      <c r="V134" s="2" t="s">
        <v>660</v>
      </c>
      <c r="W134" s="2" t="s">
        <v>17</v>
      </c>
      <c r="X134" s="2">
        <v>5.0</v>
      </c>
    </row>
    <row r="135">
      <c r="A135" s="2">
        <v>131.0</v>
      </c>
      <c r="B135" s="2" t="s">
        <v>661</v>
      </c>
      <c r="C135" s="2" t="s">
        <v>13</v>
      </c>
      <c r="D135" s="4">
        <v>10.0</v>
      </c>
      <c r="F135" s="2">
        <v>131.0</v>
      </c>
      <c r="G135" s="2" t="s">
        <v>662</v>
      </c>
      <c r="H135" s="2" t="s">
        <v>13</v>
      </c>
      <c r="I135" s="2">
        <v>5.0</v>
      </c>
      <c r="K135" s="2">
        <v>131.0</v>
      </c>
      <c r="L135" s="2" t="s">
        <v>663</v>
      </c>
      <c r="M135" s="2" t="s">
        <v>13</v>
      </c>
      <c r="N135" s="2">
        <v>10.0</v>
      </c>
      <c r="P135" s="2">
        <v>131.0</v>
      </c>
      <c r="Q135" s="2" t="s">
        <v>664</v>
      </c>
      <c r="R135" s="2" t="s">
        <v>17</v>
      </c>
      <c r="S135" s="2">
        <v>10.0</v>
      </c>
      <c r="U135" s="2">
        <v>131.0</v>
      </c>
      <c r="V135" s="2" t="s">
        <v>665</v>
      </c>
      <c r="W135" s="2" t="s">
        <v>17</v>
      </c>
      <c r="X135" s="2">
        <v>5.0</v>
      </c>
    </row>
    <row r="136">
      <c r="A136" s="2">
        <v>132.0</v>
      </c>
      <c r="B136" s="2" t="s">
        <v>666</v>
      </c>
      <c r="C136" s="2" t="s">
        <v>13</v>
      </c>
      <c r="D136" s="4">
        <v>10.0</v>
      </c>
      <c r="F136" s="2">
        <v>132.0</v>
      </c>
      <c r="G136" s="2" t="s">
        <v>667</v>
      </c>
      <c r="H136" s="2" t="s">
        <v>13</v>
      </c>
      <c r="I136" s="2">
        <v>10.0</v>
      </c>
      <c r="K136" s="2">
        <v>132.0</v>
      </c>
      <c r="L136" s="2" t="s">
        <v>668</v>
      </c>
      <c r="M136" s="2" t="s">
        <v>13</v>
      </c>
      <c r="N136" s="2">
        <v>10.0</v>
      </c>
      <c r="P136" s="2">
        <v>132.0</v>
      </c>
      <c r="Q136" s="2" t="s">
        <v>669</v>
      </c>
      <c r="R136" s="2" t="s">
        <v>17</v>
      </c>
      <c r="S136" s="2">
        <v>5.0</v>
      </c>
      <c r="U136" s="2">
        <v>132.0</v>
      </c>
      <c r="V136" s="2" t="s">
        <v>670</v>
      </c>
      <c r="W136" s="2" t="s">
        <v>17</v>
      </c>
      <c r="X136" s="2">
        <v>10.0</v>
      </c>
    </row>
    <row r="137">
      <c r="A137" s="2">
        <v>133.0</v>
      </c>
      <c r="B137" s="2" t="s">
        <v>671</v>
      </c>
      <c r="C137" s="2" t="s">
        <v>13</v>
      </c>
      <c r="D137" s="4">
        <v>5.0</v>
      </c>
      <c r="F137" s="2">
        <v>133.0</v>
      </c>
      <c r="G137" s="2" t="s">
        <v>672</v>
      </c>
      <c r="H137" s="2" t="s">
        <v>13</v>
      </c>
      <c r="I137" s="2">
        <v>5.0</v>
      </c>
      <c r="K137" s="2">
        <v>133.0</v>
      </c>
      <c r="L137" s="2" t="s">
        <v>673</v>
      </c>
      <c r="M137" s="2" t="s">
        <v>13</v>
      </c>
      <c r="N137" s="2">
        <v>10.0</v>
      </c>
      <c r="P137" s="2">
        <v>133.0</v>
      </c>
      <c r="Q137" s="2" t="s">
        <v>674</v>
      </c>
      <c r="R137" s="2" t="s">
        <v>17</v>
      </c>
      <c r="S137" s="2">
        <v>10.0</v>
      </c>
      <c r="U137" s="2">
        <v>133.0</v>
      </c>
      <c r="V137" s="2" t="s">
        <v>675</v>
      </c>
      <c r="W137" s="2" t="s">
        <v>17</v>
      </c>
      <c r="X137" s="2">
        <v>10.0</v>
      </c>
    </row>
    <row r="138">
      <c r="A138" s="2">
        <v>134.0</v>
      </c>
      <c r="B138" s="2" t="s">
        <v>676</v>
      </c>
      <c r="C138" s="2" t="s">
        <v>13</v>
      </c>
      <c r="D138" s="4">
        <v>5.0</v>
      </c>
      <c r="F138" s="2">
        <v>134.0</v>
      </c>
      <c r="G138" s="2" t="s">
        <v>677</v>
      </c>
      <c r="H138" s="2" t="s">
        <v>13</v>
      </c>
      <c r="I138" s="2">
        <v>10.0</v>
      </c>
      <c r="K138" s="2">
        <v>134.0</v>
      </c>
      <c r="L138" s="2" t="s">
        <v>678</v>
      </c>
      <c r="M138" s="2" t="s">
        <v>13</v>
      </c>
      <c r="N138" s="2">
        <v>5.0</v>
      </c>
      <c r="P138" s="2">
        <v>134.0</v>
      </c>
      <c r="Q138" s="2" t="s">
        <v>679</v>
      </c>
      <c r="R138" s="2" t="s">
        <v>17</v>
      </c>
      <c r="S138" s="2">
        <v>10.0</v>
      </c>
      <c r="U138" s="2">
        <v>134.0</v>
      </c>
      <c r="V138" s="2" t="s">
        <v>680</v>
      </c>
      <c r="W138" s="2" t="s">
        <v>17</v>
      </c>
      <c r="X138" s="2">
        <v>10.0</v>
      </c>
    </row>
    <row r="139">
      <c r="A139" s="2">
        <v>135.0</v>
      </c>
      <c r="B139" s="2" t="s">
        <v>681</v>
      </c>
      <c r="C139" s="2" t="s">
        <v>13</v>
      </c>
      <c r="D139" s="4">
        <v>10.0</v>
      </c>
      <c r="F139" s="2">
        <v>135.0</v>
      </c>
      <c r="G139" s="2" t="s">
        <v>682</v>
      </c>
      <c r="H139" s="2" t="s">
        <v>13</v>
      </c>
      <c r="I139" s="2">
        <v>5.0</v>
      </c>
      <c r="K139" s="2">
        <v>135.0</v>
      </c>
      <c r="L139" s="2" t="s">
        <v>683</v>
      </c>
      <c r="M139" s="2" t="s">
        <v>13</v>
      </c>
      <c r="N139" s="2">
        <v>10.0</v>
      </c>
      <c r="P139" s="2">
        <v>135.0</v>
      </c>
      <c r="Q139" s="2" t="s">
        <v>684</v>
      </c>
      <c r="R139" s="2" t="s">
        <v>17</v>
      </c>
      <c r="S139" s="2">
        <v>10.0</v>
      </c>
      <c r="U139" s="2">
        <v>135.0</v>
      </c>
      <c r="V139" s="2" t="s">
        <v>685</v>
      </c>
      <c r="W139" s="2" t="s">
        <v>17</v>
      </c>
      <c r="X139" s="2">
        <v>10.0</v>
      </c>
    </row>
    <row r="140">
      <c r="A140" s="2">
        <v>136.0</v>
      </c>
      <c r="B140" s="2" t="s">
        <v>686</v>
      </c>
      <c r="C140" s="2" t="s">
        <v>13</v>
      </c>
      <c r="D140" s="4">
        <v>10.0</v>
      </c>
      <c r="F140" s="2">
        <v>136.0</v>
      </c>
      <c r="G140" s="2" t="s">
        <v>687</v>
      </c>
      <c r="H140" s="2" t="s">
        <v>13</v>
      </c>
      <c r="I140" s="2">
        <v>10.0</v>
      </c>
      <c r="K140" s="2">
        <v>136.0</v>
      </c>
      <c r="L140" s="2" t="s">
        <v>688</v>
      </c>
      <c r="M140" s="2" t="s">
        <v>13</v>
      </c>
      <c r="N140" s="2">
        <v>5.0</v>
      </c>
      <c r="P140" s="2">
        <v>136.0</v>
      </c>
      <c r="Q140" s="2" t="s">
        <v>689</v>
      </c>
      <c r="R140" s="2" t="s">
        <v>17</v>
      </c>
      <c r="S140" s="2">
        <v>10.0</v>
      </c>
      <c r="U140" s="2">
        <v>136.0</v>
      </c>
      <c r="V140" s="2" t="s">
        <v>690</v>
      </c>
      <c r="W140" s="2" t="s">
        <v>17</v>
      </c>
      <c r="X140" s="2">
        <v>5.0</v>
      </c>
    </row>
    <row r="141">
      <c r="A141" s="2">
        <v>137.0</v>
      </c>
      <c r="B141" s="2" t="s">
        <v>691</v>
      </c>
      <c r="C141" s="2" t="s">
        <v>13</v>
      </c>
      <c r="D141" s="4">
        <v>10.0</v>
      </c>
      <c r="F141" s="2">
        <v>137.0</v>
      </c>
      <c r="G141" s="2" t="s">
        <v>692</v>
      </c>
      <c r="H141" s="2" t="s">
        <v>13</v>
      </c>
      <c r="I141" s="2">
        <v>10.0</v>
      </c>
      <c r="K141" s="2">
        <v>137.0</v>
      </c>
      <c r="L141" s="2" t="s">
        <v>693</v>
      </c>
      <c r="M141" s="2" t="s">
        <v>13</v>
      </c>
      <c r="N141" s="2">
        <v>10.0</v>
      </c>
      <c r="P141" s="2">
        <v>137.0</v>
      </c>
      <c r="Q141" s="2" t="s">
        <v>694</v>
      </c>
      <c r="R141" s="2" t="s">
        <v>17</v>
      </c>
      <c r="S141" s="2">
        <v>5.0</v>
      </c>
      <c r="U141" s="2">
        <v>137.0</v>
      </c>
      <c r="V141" s="2" t="s">
        <v>695</v>
      </c>
      <c r="W141" s="2" t="s">
        <v>17</v>
      </c>
      <c r="X141" s="2">
        <v>5.0</v>
      </c>
    </row>
    <row r="142">
      <c r="A142" s="2">
        <v>138.0</v>
      </c>
      <c r="B142" s="2" t="s">
        <v>696</v>
      </c>
      <c r="C142" s="2" t="s">
        <v>13</v>
      </c>
      <c r="D142" s="4">
        <v>10.0</v>
      </c>
      <c r="F142" s="2">
        <v>138.0</v>
      </c>
      <c r="G142" s="2" t="s">
        <v>697</v>
      </c>
      <c r="H142" s="2" t="s">
        <v>13</v>
      </c>
      <c r="I142" s="2">
        <v>10.0</v>
      </c>
      <c r="K142" s="2">
        <v>138.0</v>
      </c>
      <c r="L142" s="2" t="s">
        <v>698</v>
      </c>
      <c r="M142" s="2" t="s">
        <v>13</v>
      </c>
      <c r="N142" s="2">
        <v>10.0</v>
      </c>
      <c r="P142" s="2">
        <v>138.0</v>
      </c>
      <c r="Q142" s="2" t="s">
        <v>699</v>
      </c>
      <c r="R142" s="2" t="s">
        <v>17</v>
      </c>
      <c r="S142" s="2">
        <v>5.0</v>
      </c>
      <c r="U142" s="2">
        <v>138.0</v>
      </c>
      <c r="V142" s="2" t="s">
        <v>700</v>
      </c>
      <c r="W142" s="2" t="s">
        <v>17</v>
      </c>
      <c r="X142" s="2">
        <v>10.0</v>
      </c>
    </row>
    <row r="143">
      <c r="A143" s="2">
        <v>139.0</v>
      </c>
      <c r="B143" s="2" t="s">
        <v>701</v>
      </c>
      <c r="C143" s="2" t="s">
        <v>13</v>
      </c>
      <c r="D143" s="4">
        <v>5.0</v>
      </c>
      <c r="F143" s="2">
        <v>139.0</v>
      </c>
      <c r="G143" s="2" t="s">
        <v>702</v>
      </c>
      <c r="H143" s="2" t="s">
        <v>13</v>
      </c>
      <c r="I143" s="2">
        <v>5.0</v>
      </c>
      <c r="K143" s="2">
        <v>139.0</v>
      </c>
      <c r="L143" s="2" t="s">
        <v>703</v>
      </c>
      <c r="M143" s="2" t="s">
        <v>13</v>
      </c>
      <c r="N143" s="2">
        <v>5.0</v>
      </c>
      <c r="P143" s="2">
        <v>139.0</v>
      </c>
      <c r="Q143" s="2" t="s">
        <v>704</v>
      </c>
      <c r="R143" s="2" t="s">
        <v>17</v>
      </c>
      <c r="S143" s="2">
        <v>10.0</v>
      </c>
      <c r="U143" s="2">
        <v>139.0</v>
      </c>
      <c r="V143" s="2" t="s">
        <v>705</v>
      </c>
      <c r="W143" s="2" t="s">
        <v>17</v>
      </c>
      <c r="X143" s="2">
        <v>10.0</v>
      </c>
    </row>
    <row r="144">
      <c r="A144" s="2">
        <v>140.0</v>
      </c>
      <c r="B144" s="2" t="s">
        <v>706</v>
      </c>
      <c r="C144" s="2" t="s">
        <v>13</v>
      </c>
      <c r="D144" s="4">
        <v>10.0</v>
      </c>
      <c r="F144" s="2">
        <v>140.0</v>
      </c>
      <c r="G144" s="2" t="s">
        <v>707</v>
      </c>
      <c r="H144" s="2" t="s">
        <v>13</v>
      </c>
      <c r="I144" s="2">
        <v>10.0</v>
      </c>
      <c r="K144" s="2">
        <v>140.0</v>
      </c>
      <c r="L144" s="2" t="s">
        <v>708</v>
      </c>
      <c r="M144" s="2" t="s">
        <v>13</v>
      </c>
      <c r="N144" s="2">
        <v>5.0</v>
      </c>
      <c r="P144" s="2">
        <v>140.0</v>
      </c>
      <c r="Q144" s="2" t="s">
        <v>709</v>
      </c>
      <c r="R144" s="2" t="s">
        <v>17</v>
      </c>
      <c r="S144" s="2">
        <v>10.0</v>
      </c>
      <c r="U144" s="2">
        <v>140.0</v>
      </c>
      <c r="V144" s="2" t="s">
        <v>710</v>
      </c>
      <c r="W144" s="2" t="s">
        <v>17</v>
      </c>
      <c r="X144" s="2">
        <v>10.0</v>
      </c>
    </row>
    <row r="145">
      <c r="A145" s="2">
        <v>141.0</v>
      </c>
      <c r="B145" s="2" t="s">
        <v>711</v>
      </c>
      <c r="C145" s="2" t="s">
        <v>13</v>
      </c>
      <c r="D145" s="4">
        <v>5.0</v>
      </c>
      <c r="F145" s="2">
        <v>141.0</v>
      </c>
      <c r="G145" s="2" t="s">
        <v>712</v>
      </c>
      <c r="H145" s="2" t="s">
        <v>13</v>
      </c>
      <c r="I145" s="2">
        <v>5.0</v>
      </c>
      <c r="K145" s="2">
        <v>141.0</v>
      </c>
      <c r="L145" s="2" t="s">
        <v>713</v>
      </c>
      <c r="M145" s="2" t="s">
        <v>13</v>
      </c>
      <c r="N145" s="2">
        <v>10.0</v>
      </c>
      <c r="P145" s="2">
        <v>141.0</v>
      </c>
      <c r="Q145" s="2" t="s">
        <v>714</v>
      </c>
      <c r="R145" s="2" t="s">
        <v>17</v>
      </c>
      <c r="S145" s="2">
        <v>5.0</v>
      </c>
      <c r="U145" s="2">
        <v>141.0</v>
      </c>
      <c r="V145" s="2" t="s">
        <v>715</v>
      </c>
      <c r="W145" s="2" t="s">
        <v>17</v>
      </c>
      <c r="X145" s="2">
        <v>5.0</v>
      </c>
    </row>
    <row r="146">
      <c r="A146" s="2">
        <v>142.0</v>
      </c>
      <c r="B146" s="2" t="s">
        <v>716</v>
      </c>
      <c r="C146" s="2" t="s">
        <v>13</v>
      </c>
      <c r="D146" s="3">
        <v>5.0</v>
      </c>
      <c r="F146" s="2">
        <v>142.0</v>
      </c>
      <c r="G146" s="2" t="s">
        <v>717</v>
      </c>
      <c r="H146" s="2" t="s">
        <v>13</v>
      </c>
      <c r="I146" s="2">
        <v>10.0</v>
      </c>
      <c r="K146" s="2">
        <v>142.0</v>
      </c>
      <c r="L146" s="2" t="s">
        <v>718</v>
      </c>
      <c r="M146" s="2" t="s">
        <v>13</v>
      </c>
      <c r="N146" s="2">
        <v>5.0</v>
      </c>
      <c r="P146" s="2">
        <v>142.0</v>
      </c>
      <c r="Q146" s="2" t="s">
        <v>719</v>
      </c>
      <c r="R146" s="2" t="s">
        <v>17</v>
      </c>
      <c r="S146" s="2">
        <v>5.0</v>
      </c>
      <c r="U146" s="2">
        <v>142.0</v>
      </c>
      <c r="V146" s="2" t="s">
        <v>720</v>
      </c>
      <c r="W146" s="2" t="s">
        <v>17</v>
      </c>
      <c r="X146" s="2">
        <v>5.0</v>
      </c>
    </row>
    <row r="147">
      <c r="D147" s="4"/>
      <c r="F147" s="2">
        <v>143.0</v>
      </c>
      <c r="G147" s="2" t="s">
        <v>721</v>
      </c>
      <c r="H147" s="2" t="s">
        <v>13</v>
      </c>
      <c r="I147" s="2">
        <v>5.0</v>
      </c>
      <c r="K147" s="2">
        <v>143.0</v>
      </c>
      <c r="L147" s="2" t="s">
        <v>722</v>
      </c>
      <c r="M147" s="2" t="s">
        <v>13</v>
      </c>
      <c r="N147" s="2">
        <v>5.0</v>
      </c>
      <c r="P147" s="2">
        <v>143.0</v>
      </c>
      <c r="Q147" s="2" t="s">
        <v>723</v>
      </c>
      <c r="R147" s="2" t="s">
        <v>17</v>
      </c>
      <c r="S147" s="2">
        <v>5.0</v>
      </c>
      <c r="U147" s="2">
        <v>143.0</v>
      </c>
      <c r="V147" s="2" t="s">
        <v>724</v>
      </c>
      <c r="W147" s="2" t="s">
        <v>17</v>
      </c>
      <c r="X147" s="2">
        <v>10.0</v>
      </c>
    </row>
    <row r="148">
      <c r="A148" s="2">
        <v>144.0</v>
      </c>
      <c r="B148" s="2" t="s">
        <v>725</v>
      </c>
      <c r="C148" s="2" t="s">
        <v>13</v>
      </c>
      <c r="D148" s="4">
        <v>10.0</v>
      </c>
      <c r="F148" s="2">
        <v>144.0</v>
      </c>
      <c r="G148" s="2" t="s">
        <v>726</v>
      </c>
      <c r="H148" s="2" t="s">
        <v>13</v>
      </c>
      <c r="I148" s="2">
        <v>10.0</v>
      </c>
      <c r="K148" s="2">
        <v>144.0</v>
      </c>
      <c r="L148" s="2" t="s">
        <v>727</v>
      </c>
      <c r="M148" s="2" t="s">
        <v>13</v>
      </c>
      <c r="N148" s="2">
        <v>5.0</v>
      </c>
      <c r="P148" s="2">
        <v>144.0</v>
      </c>
      <c r="Q148" s="2" t="s">
        <v>728</v>
      </c>
      <c r="R148" s="2" t="s">
        <v>17</v>
      </c>
      <c r="S148" s="2">
        <v>5.0</v>
      </c>
      <c r="U148" s="2">
        <v>144.0</v>
      </c>
      <c r="V148" s="2" t="s">
        <v>729</v>
      </c>
      <c r="W148" s="2" t="s">
        <v>17</v>
      </c>
      <c r="X148" s="2">
        <v>5.0</v>
      </c>
    </row>
    <row r="149">
      <c r="A149" s="2">
        <v>145.0</v>
      </c>
      <c r="B149" s="2" t="s">
        <v>730</v>
      </c>
      <c r="C149" s="2" t="s">
        <v>13</v>
      </c>
      <c r="D149" s="4">
        <v>5.0</v>
      </c>
      <c r="F149" s="2">
        <v>145.0</v>
      </c>
      <c r="G149" s="2" t="s">
        <v>731</v>
      </c>
      <c r="H149" s="2" t="s">
        <v>13</v>
      </c>
      <c r="I149" s="2">
        <v>10.0</v>
      </c>
      <c r="K149" s="2">
        <v>145.0</v>
      </c>
      <c r="L149" s="2" t="s">
        <v>732</v>
      </c>
      <c r="M149" s="2" t="s">
        <v>13</v>
      </c>
      <c r="N149" s="2">
        <v>10.0</v>
      </c>
      <c r="P149" s="2">
        <v>145.0</v>
      </c>
      <c r="Q149" s="2" t="s">
        <v>733</v>
      </c>
      <c r="R149" s="2" t="s">
        <v>17</v>
      </c>
      <c r="S149" s="2">
        <v>10.0</v>
      </c>
      <c r="U149" s="2">
        <v>145.0</v>
      </c>
      <c r="V149" s="2" t="s">
        <v>734</v>
      </c>
      <c r="W149" s="2" t="s">
        <v>17</v>
      </c>
      <c r="X149" s="2">
        <v>5.0</v>
      </c>
    </row>
    <row r="150">
      <c r="A150" s="2">
        <v>146.0</v>
      </c>
      <c r="B150" s="2" t="s">
        <v>735</v>
      </c>
      <c r="C150" s="2" t="s">
        <v>13</v>
      </c>
      <c r="D150" s="4">
        <v>10.0</v>
      </c>
      <c r="F150" s="2">
        <v>146.0</v>
      </c>
      <c r="G150" s="2" t="s">
        <v>736</v>
      </c>
      <c r="H150" s="2" t="s">
        <v>13</v>
      </c>
      <c r="I150" s="2">
        <v>5.0</v>
      </c>
      <c r="K150" s="2">
        <v>146.0</v>
      </c>
      <c r="L150" s="2" t="s">
        <v>737</v>
      </c>
      <c r="M150" s="2" t="s">
        <v>13</v>
      </c>
      <c r="N150" s="2">
        <v>10.0</v>
      </c>
      <c r="P150" s="2">
        <v>146.0</v>
      </c>
      <c r="Q150" s="2" t="s">
        <v>738</v>
      </c>
      <c r="R150" s="2" t="s">
        <v>17</v>
      </c>
      <c r="S150" s="2">
        <v>5.0</v>
      </c>
      <c r="U150" s="2">
        <v>146.0</v>
      </c>
      <c r="V150" s="2" t="s">
        <v>739</v>
      </c>
      <c r="W150" s="2" t="s">
        <v>17</v>
      </c>
      <c r="X150" s="2">
        <v>5.0</v>
      </c>
    </row>
    <row r="151">
      <c r="A151" s="2">
        <v>147.0</v>
      </c>
      <c r="B151" s="2" t="s">
        <v>740</v>
      </c>
      <c r="C151" s="2" t="s">
        <v>13</v>
      </c>
      <c r="D151" s="4">
        <v>10.0</v>
      </c>
      <c r="F151" s="2">
        <v>147.0</v>
      </c>
      <c r="G151" s="2" t="s">
        <v>741</v>
      </c>
      <c r="H151" s="2" t="s">
        <v>13</v>
      </c>
      <c r="I151" s="2">
        <v>10.0</v>
      </c>
      <c r="K151" s="2">
        <v>147.0</v>
      </c>
      <c r="L151" s="2" t="s">
        <v>742</v>
      </c>
      <c r="M151" s="2" t="s">
        <v>13</v>
      </c>
      <c r="N151" s="2">
        <v>5.0</v>
      </c>
      <c r="P151" s="2">
        <v>147.0</v>
      </c>
      <c r="Q151" s="2" t="s">
        <v>743</v>
      </c>
      <c r="R151" s="2" t="s">
        <v>17</v>
      </c>
      <c r="S151" s="2">
        <v>5.0</v>
      </c>
      <c r="U151" s="2">
        <v>147.0</v>
      </c>
      <c r="V151" s="2" t="s">
        <v>744</v>
      </c>
      <c r="W151" s="2" t="s">
        <v>17</v>
      </c>
      <c r="X151" s="2">
        <v>10.0</v>
      </c>
    </row>
    <row r="152">
      <c r="A152" s="2">
        <v>148.0</v>
      </c>
      <c r="B152" s="2" t="s">
        <v>745</v>
      </c>
      <c r="C152" s="2" t="s">
        <v>13</v>
      </c>
      <c r="D152" s="4">
        <v>5.0</v>
      </c>
      <c r="F152" s="2">
        <v>148.0</v>
      </c>
      <c r="G152" s="2" t="s">
        <v>746</v>
      </c>
      <c r="H152" s="2" t="s">
        <v>13</v>
      </c>
      <c r="I152" s="2">
        <v>5.0</v>
      </c>
      <c r="K152" s="2">
        <v>148.0</v>
      </c>
      <c r="L152" s="2" t="s">
        <v>747</v>
      </c>
      <c r="M152" s="2" t="s">
        <v>13</v>
      </c>
      <c r="N152" s="2">
        <v>10.0</v>
      </c>
      <c r="P152" s="2">
        <v>148.0</v>
      </c>
      <c r="Q152" s="2" t="s">
        <v>748</v>
      </c>
      <c r="R152" s="2" t="s">
        <v>17</v>
      </c>
      <c r="S152" s="2">
        <v>5.0</v>
      </c>
      <c r="U152" s="2">
        <v>148.0</v>
      </c>
      <c r="V152" s="2" t="s">
        <v>749</v>
      </c>
      <c r="W152" s="2" t="s">
        <v>17</v>
      </c>
      <c r="X152" s="2">
        <v>5.0</v>
      </c>
    </row>
    <row r="153">
      <c r="A153" s="2">
        <v>149.0</v>
      </c>
      <c r="B153" s="2" t="s">
        <v>750</v>
      </c>
      <c r="C153" s="2" t="s">
        <v>13</v>
      </c>
      <c r="D153" s="4">
        <v>10.0</v>
      </c>
      <c r="F153" s="2">
        <v>149.0</v>
      </c>
      <c r="G153" s="2" t="s">
        <v>751</v>
      </c>
      <c r="H153" s="2" t="s">
        <v>13</v>
      </c>
      <c r="I153" s="2">
        <v>5.0</v>
      </c>
      <c r="K153" s="2">
        <v>149.0</v>
      </c>
      <c r="L153" s="2" t="s">
        <v>752</v>
      </c>
      <c r="M153" s="2" t="s">
        <v>13</v>
      </c>
      <c r="N153" s="2">
        <v>10.0</v>
      </c>
      <c r="P153" s="2">
        <v>149.0</v>
      </c>
      <c r="Q153" s="2" t="s">
        <v>753</v>
      </c>
      <c r="R153" s="2" t="s">
        <v>17</v>
      </c>
      <c r="S153" s="2">
        <v>10.0</v>
      </c>
      <c r="U153" s="2">
        <v>149.0</v>
      </c>
      <c r="V153" s="2" t="s">
        <v>754</v>
      </c>
      <c r="W153" s="2" t="s">
        <v>17</v>
      </c>
      <c r="X153" s="2">
        <v>5.0</v>
      </c>
    </row>
    <row r="154">
      <c r="D154" s="4"/>
      <c r="F154" s="2">
        <v>150.0</v>
      </c>
      <c r="G154" s="2" t="s">
        <v>755</v>
      </c>
      <c r="H154" s="2" t="s">
        <v>13</v>
      </c>
      <c r="I154" s="2">
        <v>5.0</v>
      </c>
      <c r="K154" s="2">
        <v>150.0</v>
      </c>
      <c r="L154" s="2" t="s">
        <v>756</v>
      </c>
      <c r="M154" s="2" t="s">
        <v>13</v>
      </c>
      <c r="N154" s="2">
        <v>10.0</v>
      </c>
      <c r="P154" s="2">
        <v>150.0</v>
      </c>
      <c r="Q154" s="2" t="s">
        <v>757</v>
      </c>
      <c r="R154" s="2" t="s">
        <v>17</v>
      </c>
      <c r="S154" s="2">
        <v>10.0</v>
      </c>
      <c r="U154" s="2">
        <v>150.0</v>
      </c>
      <c r="V154" s="2" t="s">
        <v>758</v>
      </c>
      <c r="W154" s="2" t="s">
        <v>17</v>
      </c>
      <c r="X154" s="2">
        <v>5.0</v>
      </c>
    </row>
    <row r="155">
      <c r="A155" s="2">
        <v>151.0</v>
      </c>
      <c r="B155" s="2" t="s">
        <v>759</v>
      </c>
      <c r="C155" s="2" t="s">
        <v>13</v>
      </c>
      <c r="D155" s="4">
        <v>10.0</v>
      </c>
      <c r="F155" s="2">
        <v>151.0</v>
      </c>
      <c r="G155" s="2" t="s">
        <v>760</v>
      </c>
      <c r="H155" s="2" t="s">
        <v>13</v>
      </c>
      <c r="I155" s="2">
        <v>10.0</v>
      </c>
      <c r="K155" s="2">
        <v>151.0</v>
      </c>
      <c r="L155" s="2" t="s">
        <v>761</v>
      </c>
      <c r="M155" s="2" t="s">
        <v>13</v>
      </c>
      <c r="N155" s="2">
        <v>10.0</v>
      </c>
      <c r="P155" s="2">
        <v>151.0</v>
      </c>
      <c r="Q155" s="2" t="s">
        <v>762</v>
      </c>
      <c r="R155" s="2" t="s">
        <v>17</v>
      </c>
      <c r="S155" s="2">
        <v>10.0</v>
      </c>
      <c r="U155" s="2">
        <v>151.0</v>
      </c>
      <c r="V155" s="2" t="s">
        <v>763</v>
      </c>
      <c r="W155" s="2" t="s">
        <v>17</v>
      </c>
      <c r="X155" s="2">
        <v>5.0</v>
      </c>
    </row>
    <row r="156">
      <c r="A156" s="2">
        <v>152.0</v>
      </c>
      <c r="B156" s="2" t="s">
        <v>764</v>
      </c>
      <c r="C156" s="2" t="s">
        <v>13</v>
      </c>
      <c r="D156" s="4">
        <v>10.0</v>
      </c>
      <c r="F156" s="2">
        <v>152.0</v>
      </c>
      <c r="G156" s="2" t="s">
        <v>765</v>
      </c>
      <c r="H156" s="2" t="s">
        <v>13</v>
      </c>
      <c r="I156" s="2">
        <v>10.0</v>
      </c>
      <c r="K156" s="2">
        <v>152.0</v>
      </c>
      <c r="L156" s="2" t="s">
        <v>766</v>
      </c>
      <c r="M156" s="2" t="s">
        <v>13</v>
      </c>
      <c r="N156" s="2">
        <v>10.0</v>
      </c>
      <c r="P156" s="2">
        <v>152.0</v>
      </c>
      <c r="Q156" s="2" t="s">
        <v>767</v>
      </c>
      <c r="R156" s="2" t="s">
        <v>17</v>
      </c>
      <c r="S156" s="2">
        <v>5.0</v>
      </c>
      <c r="U156" s="2">
        <v>152.0</v>
      </c>
      <c r="V156" s="2" t="s">
        <v>768</v>
      </c>
      <c r="W156" s="2" t="s">
        <v>17</v>
      </c>
      <c r="X156" s="2">
        <v>5.0</v>
      </c>
    </row>
    <row r="157">
      <c r="A157" s="2">
        <v>153.0</v>
      </c>
      <c r="B157" s="2" t="s">
        <v>769</v>
      </c>
      <c r="C157" s="2" t="s">
        <v>13</v>
      </c>
      <c r="D157" s="4">
        <v>5.0</v>
      </c>
      <c r="F157" s="2">
        <v>153.0</v>
      </c>
      <c r="G157" s="2" t="s">
        <v>770</v>
      </c>
      <c r="H157" s="2" t="s">
        <v>13</v>
      </c>
      <c r="I157" s="2">
        <v>10.0</v>
      </c>
      <c r="K157" s="2">
        <v>153.0</v>
      </c>
      <c r="L157" s="2" t="s">
        <v>771</v>
      </c>
      <c r="M157" s="2" t="s">
        <v>13</v>
      </c>
      <c r="N157" s="2">
        <v>10.0</v>
      </c>
      <c r="P157" s="2">
        <v>153.0</v>
      </c>
      <c r="Q157" s="2" t="s">
        <v>772</v>
      </c>
      <c r="R157" s="2" t="s">
        <v>17</v>
      </c>
      <c r="S157" s="2">
        <v>10.0</v>
      </c>
      <c r="U157" s="2">
        <v>153.0</v>
      </c>
      <c r="V157" s="2" t="s">
        <v>773</v>
      </c>
      <c r="W157" s="2" t="s">
        <v>17</v>
      </c>
      <c r="X157" s="2">
        <v>10.0</v>
      </c>
    </row>
    <row r="158">
      <c r="A158" s="2">
        <v>154.0</v>
      </c>
      <c r="B158" s="2" t="s">
        <v>774</v>
      </c>
      <c r="C158" s="2" t="s">
        <v>13</v>
      </c>
      <c r="D158" s="4">
        <v>5.0</v>
      </c>
      <c r="F158" s="2">
        <v>154.0</v>
      </c>
      <c r="G158" s="2" t="s">
        <v>775</v>
      </c>
      <c r="H158" s="2" t="s">
        <v>13</v>
      </c>
      <c r="I158" s="2">
        <v>10.0</v>
      </c>
      <c r="K158" s="2">
        <v>154.0</v>
      </c>
      <c r="L158" s="2" t="s">
        <v>776</v>
      </c>
      <c r="M158" s="2" t="s">
        <v>13</v>
      </c>
      <c r="N158" s="2">
        <v>5.0</v>
      </c>
      <c r="P158" s="2">
        <v>154.0</v>
      </c>
      <c r="Q158" s="2" t="s">
        <v>777</v>
      </c>
      <c r="R158" s="2" t="s">
        <v>17</v>
      </c>
      <c r="S158" s="2">
        <v>5.0</v>
      </c>
      <c r="U158" s="2">
        <v>154.0</v>
      </c>
      <c r="V158" s="2" t="s">
        <v>778</v>
      </c>
      <c r="W158" s="2" t="s">
        <v>17</v>
      </c>
      <c r="X158" s="2">
        <v>5.0</v>
      </c>
    </row>
    <row r="159">
      <c r="A159" s="2">
        <v>155.0</v>
      </c>
      <c r="B159" s="2" t="s">
        <v>779</v>
      </c>
      <c r="C159" s="2" t="s">
        <v>13</v>
      </c>
      <c r="D159" s="3">
        <v>10.0</v>
      </c>
      <c r="F159" s="2">
        <v>155.0</v>
      </c>
      <c r="G159" s="2" t="s">
        <v>780</v>
      </c>
      <c r="H159" s="2" t="s">
        <v>13</v>
      </c>
      <c r="I159" s="2">
        <v>10.0</v>
      </c>
      <c r="K159" s="2">
        <v>155.0</v>
      </c>
      <c r="L159" s="2" t="s">
        <v>781</v>
      </c>
      <c r="M159" s="2" t="s">
        <v>13</v>
      </c>
      <c r="N159" s="2">
        <v>5.0</v>
      </c>
      <c r="P159" s="2">
        <v>155.0</v>
      </c>
      <c r="Q159" s="2" t="s">
        <v>782</v>
      </c>
      <c r="R159" s="2" t="s">
        <v>17</v>
      </c>
      <c r="S159" s="2">
        <v>5.0</v>
      </c>
      <c r="U159" s="2">
        <v>155.0</v>
      </c>
      <c r="V159" s="2" t="s">
        <v>783</v>
      </c>
      <c r="W159" s="2" t="s">
        <v>17</v>
      </c>
      <c r="X159" s="2">
        <v>10.0</v>
      </c>
    </row>
    <row r="160">
      <c r="A160" s="2">
        <v>156.0</v>
      </c>
      <c r="B160" s="2" t="s">
        <v>784</v>
      </c>
      <c r="C160" s="2" t="s">
        <v>13</v>
      </c>
      <c r="D160" s="4">
        <v>10.0</v>
      </c>
      <c r="F160" s="2">
        <v>156.0</v>
      </c>
      <c r="G160" s="2" t="s">
        <v>785</v>
      </c>
      <c r="H160" s="2" t="s">
        <v>13</v>
      </c>
      <c r="I160" s="2">
        <v>5.0</v>
      </c>
      <c r="K160" s="2">
        <v>156.0</v>
      </c>
      <c r="L160" s="2" t="s">
        <v>786</v>
      </c>
      <c r="M160" s="2" t="s">
        <v>13</v>
      </c>
      <c r="N160" s="2">
        <v>10.0</v>
      </c>
      <c r="P160" s="2">
        <v>156.0</v>
      </c>
      <c r="Q160" s="2" t="s">
        <v>787</v>
      </c>
      <c r="R160" s="2" t="s">
        <v>17</v>
      </c>
      <c r="S160" s="2">
        <v>5.0</v>
      </c>
      <c r="U160" s="2">
        <v>156.0</v>
      </c>
      <c r="V160" s="2" t="s">
        <v>788</v>
      </c>
      <c r="W160" s="2" t="s">
        <v>17</v>
      </c>
      <c r="X160" s="2">
        <v>10.0</v>
      </c>
    </row>
    <row r="161">
      <c r="A161" s="2">
        <v>157.0</v>
      </c>
      <c r="B161" s="2" t="s">
        <v>789</v>
      </c>
      <c r="C161" s="2" t="s">
        <v>13</v>
      </c>
      <c r="D161" s="4">
        <v>5.0</v>
      </c>
      <c r="F161" s="2">
        <v>157.0</v>
      </c>
      <c r="G161" s="2" t="s">
        <v>790</v>
      </c>
      <c r="H161" s="2" t="s">
        <v>13</v>
      </c>
      <c r="I161" s="2">
        <v>5.0</v>
      </c>
      <c r="K161" s="2">
        <v>157.0</v>
      </c>
      <c r="L161" s="2" t="s">
        <v>791</v>
      </c>
      <c r="M161" s="2" t="s">
        <v>13</v>
      </c>
      <c r="N161" s="2">
        <v>5.0</v>
      </c>
      <c r="P161" s="2">
        <v>157.0</v>
      </c>
      <c r="Q161" s="2" t="s">
        <v>792</v>
      </c>
      <c r="R161" s="2" t="s">
        <v>17</v>
      </c>
      <c r="S161" s="2">
        <v>5.0</v>
      </c>
      <c r="U161" s="2">
        <v>157.0</v>
      </c>
      <c r="V161" s="2" t="s">
        <v>793</v>
      </c>
      <c r="W161" s="2" t="s">
        <v>17</v>
      </c>
      <c r="X161" s="2">
        <v>5.0</v>
      </c>
    </row>
    <row r="162">
      <c r="A162" s="2">
        <v>158.0</v>
      </c>
      <c r="B162" s="2" t="s">
        <v>794</v>
      </c>
      <c r="C162" s="2" t="s">
        <v>13</v>
      </c>
      <c r="D162" s="4">
        <v>5.0</v>
      </c>
      <c r="F162" s="2">
        <v>158.0</v>
      </c>
      <c r="G162" s="2" t="s">
        <v>795</v>
      </c>
      <c r="H162" s="2" t="s">
        <v>13</v>
      </c>
      <c r="I162" s="2">
        <v>10.0</v>
      </c>
      <c r="K162" s="2">
        <v>158.0</v>
      </c>
      <c r="L162" s="2" t="s">
        <v>796</v>
      </c>
      <c r="M162" s="2" t="s">
        <v>13</v>
      </c>
      <c r="N162" s="2">
        <v>10.0</v>
      </c>
      <c r="P162" s="2">
        <v>158.0</v>
      </c>
      <c r="Q162" s="2" t="s">
        <v>797</v>
      </c>
      <c r="R162" s="2" t="s">
        <v>17</v>
      </c>
      <c r="S162" s="2">
        <v>5.0</v>
      </c>
      <c r="U162" s="2">
        <v>158.0</v>
      </c>
      <c r="V162" s="2" t="s">
        <v>798</v>
      </c>
      <c r="W162" s="2" t="s">
        <v>17</v>
      </c>
      <c r="X162" s="2">
        <v>10.0</v>
      </c>
    </row>
    <row r="163">
      <c r="A163" s="2">
        <v>159.0</v>
      </c>
      <c r="B163" s="2" t="s">
        <v>799</v>
      </c>
      <c r="C163" s="2" t="s">
        <v>13</v>
      </c>
      <c r="D163" s="4">
        <v>10.0</v>
      </c>
      <c r="F163" s="2">
        <v>159.0</v>
      </c>
      <c r="G163" s="2" t="s">
        <v>800</v>
      </c>
      <c r="H163" s="2" t="s">
        <v>13</v>
      </c>
      <c r="I163" s="2">
        <v>10.0</v>
      </c>
      <c r="K163" s="2">
        <v>159.0</v>
      </c>
      <c r="L163" s="2" t="s">
        <v>801</v>
      </c>
      <c r="M163" s="2" t="s">
        <v>13</v>
      </c>
      <c r="N163" s="2">
        <v>5.0</v>
      </c>
      <c r="P163" s="2">
        <v>159.0</v>
      </c>
      <c r="Q163" s="2" t="s">
        <v>802</v>
      </c>
      <c r="R163" s="2" t="s">
        <v>17</v>
      </c>
      <c r="S163" s="2">
        <v>10.0</v>
      </c>
      <c r="U163" s="2">
        <v>159.0</v>
      </c>
      <c r="V163" s="2" t="s">
        <v>803</v>
      </c>
      <c r="W163" s="2" t="s">
        <v>17</v>
      </c>
      <c r="X163" s="2">
        <v>10.0</v>
      </c>
    </row>
    <row r="164">
      <c r="A164" s="2">
        <v>160.0</v>
      </c>
      <c r="B164" s="2" t="s">
        <v>804</v>
      </c>
      <c r="C164" s="2" t="s">
        <v>13</v>
      </c>
      <c r="D164" s="4">
        <v>5.0</v>
      </c>
      <c r="F164" s="2">
        <v>160.0</v>
      </c>
      <c r="G164" s="2" t="s">
        <v>805</v>
      </c>
      <c r="H164" s="2" t="s">
        <v>13</v>
      </c>
      <c r="I164" s="2">
        <v>5.0</v>
      </c>
      <c r="K164" s="2">
        <v>160.0</v>
      </c>
      <c r="L164" s="2" t="s">
        <v>806</v>
      </c>
      <c r="M164" s="2" t="s">
        <v>13</v>
      </c>
      <c r="N164" s="2">
        <v>5.0</v>
      </c>
      <c r="P164" s="2">
        <v>160.0</v>
      </c>
      <c r="Q164" s="2" t="s">
        <v>807</v>
      </c>
      <c r="R164" s="2" t="s">
        <v>17</v>
      </c>
      <c r="S164" s="2">
        <v>10.0</v>
      </c>
      <c r="U164" s="2">
        <v>160.0</v>
      </c>
      <c r="V164" s="2" t="s">
        <v>808</v>
      </c>
      <c r="W164" s="2" t="s">
        <v>17</v>
      </c>
      <c r="X164" s="2">
        <v>10.0</v>
      </c>
    </row>
    <row r="165">
      <c r="A165" s="2">
        <v>161.0</v>
      </c>
      <c r="B165" s="2" t="s">
        <v>809</v>
      </c>
      <c r="C165" s="2" t="s">
        <v>13</v>
      </c>
      <c r="D165" s="4">
        <v>10.0</v>
      </c>
      <c r="F165" s="2">
        <v>161.0</v>
      </c>
      <c r="G165" s="2" t="s">
        <v>810</v>
      </c>
      <c r="H165" s="2" t="s">
        <v>13</v>
      </c>
      <c r="I165" s="2">
        <v>10.0</v>
      </c>
      <c r="P165" s="2">
        <v>161.0</v>
      </c>
      <c r="Q165" s="2" t="s">
        <v>811</v>
      </c>
      <c r="R165" s="2" t="s">
        <v>17</v>
      </c>
      <c r="S165" s="2">
        <v>5.0</v>
      </c>
      <c r="U165" s="2">
        <v>161.0</v>
      </c>
      <c r="V165" s="2" t="s">
        <v>812</v>
      </c>
      <c r="W165" s="2" t="s">
        <v>17</v>
      </c>
      <c r="X165" s="2">
        <v>5.0</v>
      </c>
    </row>
    <row r="166">
      <c r="A166" s="2">
        <v>162.0</v>
      </c>
      <c r="B166" s="2" t="s">
        <v>813</v>
      </c>
      <c r="C166" s="2" t="s">
        <v>13</v>
      </c>
      <c r="D166" s="4">
        <v>5.0</v>
      </c>
      <c r="F166" s="2">
        <v>162.0</v>
      </c>
      <c r="G166" s="2" t="s">
        <v>814</v>
      </c>
      <c r="H166" s="2" t="s">
        <v>13</v>
      </c>
      <c r="I166" s="2">
        <v>5.0</v>
      </c>
      <c r="K166" s="2">
        <v>162.0</v>
      </c>
      <c r="L166" s="2" t="s">
        <v>815</v>
      </c>
      <c r="M166" s="2" t="s">
        <v>13</v>
      </c>
      <c r="N166" s="2">
        <v>5.0</v>
      </c>
      <c r="P166" s="2">
        <v>162.0</v>
      </c>
      <c r="Q166" s="2" t="s">
        <v>816</v>
      </c>
      <c r="R166" s="2" t="s">
        <v>17</v>
      </c>
      <c r="S166" s="2">
        <v>5.0</v>
      </c>
      <c r="U166" s="2">
        <v>162.0</v>
      </c>
      <c r="V166" s="2" t="s">
        <v>817</v>
      </c>
      <c r="W166" s="2" t="s">
        <v>17</v>
      </c>
      <c r="X166" s="2">
        <v>5.0</v>
      </c>
    </row>
    <row r="167">
      <c r="A167" s="2">
        <v>163.0</v>
      </c>
      <c r="B167" s="2" t="s">
        <v>818</v>
      </c>
      <c r="C167" s="2" t="s">
        <v>13</v>
      </c>
      <c r="D167" s="4">
        <v>5.0</v>
      </c>
      <c r="F167" s="2">
        <v>163.0</v>
      </c>
      <c r="G167" s="2" t="s">
        <v>819</v>
      </c>
      <c r="H167" s="2" t="s">
        <v>13</v>
      </c>
      <c r="I167" s="2">
        <v>10.0</v>
      </c>
      <c r="K167" s="2">
        <v>163.0</v>
      </c>
      <c r="L167" s="2" t="s">
        <v>820</v>
      </c>
      <c r="M167" s="2" t="s">
        <v>13</v>
      </c>
      <c r="N167" s="2">
        <v>10.0</v>
      </c>
      <c r="P167" s="2">
        <v>163.0</v>
      </c>
      <c r="Q167" s="2" t="s">
        <v>821</v>
      </c>
      <c r="R167" s="2" t="s">
        <v>17</v>
      </c>
      <c r="S167" s="2">
        <v>10.0</v>
      </c>
      <c r="U167" s="2">
        <v>163.0</v>
      </c>
      <c r="V167" s="2" t="s">
        <v>822</v>
      </c>
      <c r="W167" s="2" t="s">
        <v>17</v>
      </c>
      <c r="X167" s="2">
        <v>5.0</v>
      </c>
    </row>
    <row r="168">
      <c r="A168" s="2">
        <v>164.0</v>
      </c>
      <c r="B168" s="2" t="s">
        <v>823</v>
      </c>
      <c r="C168" s="2" t="s">
        <v>13</v>
      </c>
      <c r="D168" s="4">
        <v>5.0</v>
      </c>
      <c r="F168" s="2">
        <v>164.0</v>
      </c>
      <c r="G168" s="2" t="s">
        <v>824</v>
      </c>
      <c r="H168" s="2" t="s">
        <v>13</v>
      </c>
      <c r="I168" s="2">
        <v>10.0</v>
      </c>
      <c r="K168" s="2">
        <v>164.0</v>
      </c>
      <c r="L168" s="2" t="s">
        <v>825</v>
      </c>
      <c r="M168" s="2" t="s">
        <v>13</v>
      </c>
      <c r="N168" s="2">
        <v>10.0</v>
      </c>
      <c r="P168" s="2">
        <v>164.0</v>
      </c>
      <c r="Q168" s="2" t="s">
        <v>826</v>
      </c>
      <c r="R168" s="2" t="s">
        <v>17</v>
      </c>
      <c r="S168" s="2">
        <v>5.0</v>
      </c>
      <c r="U168" s="2">
        <v>164.0</v>
      </c>
      <c r="V168" s="2" t="s">
        <v>827</v>
      </c>
      <c r="W168" s="2" t="s">
        <v>17</v>
      </c>
      <c r="X168" s="2">
        <v>5.0</v>
      </c>
    </row>
    <row r="169">
      <c r="A169" s="2">
        <v>165.0</v>
      </c>
      <c r="B169" s="2" t="s">
        <v>828</v>
      </c>
      <c r="C169" s="2" t="s">
        <v>13</v>
      </c>
      <c r="D169" s="4">
        <v>10.0</v>
      </c>
      <c r="F169" s="2">
        <v>165.0</v>
      </c>
      <c r="G169" s="2" t="s">
        <v>829</v>
      </c>
      <c r="H169" s="2" t="s">
        <v>13</v>
      </c>
      <c r="I169" s="2">
        <v>10.0</v>
      </c>
      <c r="K169" s="2">
        <v>165.0</v>
      </c>
      <c r="L169" s="2" t="s">
        <v>830</v>
      </c>
      <c r="M169" s="2" t="s">
        <v>13</v>
      </c>
      <c r="N169" s="2">
        <v>10.0</v>
      </c>
      <c r="P169" s="2">
        <v>165.0</v>
      </c>
      <c r="Q169" s="2" t="s">
        <v>831</v>
      </c>
      <c r="R169" s="2" t="s">
        <v>17</v>
      </c>
      <c r="S169" s="2">
        <v>10.0</v>
      </c>
      <c r="U169" s="2">
        <v>165.0</v>
      </c>
      <c r="V169" s="2" t="s">
        <v>832</v>
      </c>
      <c r="W169" s="2" t="s">
        <v>17</v>
      </c>
      <c r="X169" s="2">
        <v>5.0</v>
      </c>
    </row>
    <row r="170">
      <c r="A170" s="2">
        <v>166.0</v>
      </c>
      <c r="B170" s="2" t="s">
        <v>833</v>
      </c>
      <c r="C170" s="2" t="s">
        <v>13</v>
      </c>
      <c r="D170" s="4">
        <v>5.0</v>
      </c>
      <c r="F170" s="2">
        <v>166.0</v>
      </c>
      <c r="G170" s="2" t="s">
        <v>834</v>
      </c>
      <c r="H170" s="2" t="s">
        <v>13</v>
      </c>
      <c r="I170" s="2">
        <v>10.0</v>
      </c>
      <c r="K170" s="2">
        <v>166.0</v>
      </c>
      <c r="L170" s="2" t="s">
        <v>835</v>
      </c>
      <c r="M170" s="2" t="s">
        <v>13</v>
      </c>
      <c r="N170" s="2">
        <v>10.0</v>
      </c>
      <c r="P170" s="2">
        <v>166.0</v>
      </c>
      <c r="Q170" s="2" t="s">
        <v>836</v>
      </c>
      <c r="R170" s="2" t="s">
        <v>17</v>
      </c>
      <c r="S170" s="2">
        <v>5.0</v>
      </c>
      <c r="U170" s="2">
        <v>166.0</v>
      </c>
      <c r="V170" s="2" t="s">
        <v>837</v>
      </c>
      <c r="W170" s="2" t="s">
        <v>17</v>
      </c>
      <c r="X170" s="2">
        <v>5.0</v>
      </c>
    </row>
    <row r="171">
      <c r="A171" s="2">
        <v>167.0</v>
      </c>
      <c r="B171" s="2" t="s">
        <v>838</v>
      </c>
      <c r="C171" s="2" t="s">
        <v>13</v>
      </c>
      <c r="D171" s="4">
        <v>5.0</v>
      </c>
      <c r="F171" s="2">
        <v>167.0</v>
      </c>
      <c r="G171" s="2" t="s">
        <v>839</v>
      </c>
      <c r="H171" s="2" t="s">
        <v>13</v>
      </c>
      <c r="I171" s="2">
        <v>10.0</v>
      </c>
      <c r="P171" s="2">
        <v>167.0</v>
      </c>
      <c r="Q171" s="2" t="s">
        <v>840</v>
      </c>
      <c r="R171" s="2" t="s">
        <v>17</v>
      </c>
      <c r="S171" s="2">
        <v>5.0</v>
      </c>
      <c r="U171" s="2">
        <v>167.0</v>
      </c>
      <c r="V171" s="2" t="s">
        <v>841</v>
      </c>
      <c r="W171" s="2" t="s">
        <v>17</v>
      </c>
      <c r="X171" s="2">
        <v>5.0</v>
      </c>
    </row>
    <row r="172">
      <c r="A172" s="2">
        <v>168.0</v>
      </c>
      <c r="B172" s="2" t="s">
        <v>842</v>
      </c>
      <c r="C172" s="2" t="s">
        <v>13</v>
      </c>
      <c r="D172" s="3">
        <v>10.0</v>
      </c>
      <c r="F172" s="2">
        <v>168.0</v>
      </c>
      <c r="G172" s="2" t="s">
        <v>843</v>
      </c>
      <c r="H172" s="2" t="s">
        <v>13</v>
      </c>
      <c r="I172" s="2">
        <v>10.0</v>
      </c>
      <c r="P172" s="2">
        <v>168.0</v>
      </c>
      <c r="Q172" s="2" t="s">
        <v>844</v>
      </c>
      <c r="R172" s="2" t="s">
        <v>17</v>
      </c>
      <c r="S172" s="2">
        <v>10.0</v>
      </c>
      <c r="U172" s="2">
        <v>168.0</v>
      </c>
      <c r="V172" s="2" t="s">
        <v>845</v>
      </c>
      <c r="W172" s="2" t="s">
        <v>17</v>
      </c>
      <c r="X172" s="2">
        <v>5.0</v>
      </c>
    </row>
    <row r="173">
      <c r="A173" s="2">
        <v>169.0</v>
      </c>
      <c r="B173" s="2" t="s">
        <v>846</v>
      </c>
      <c r="C173" s="2" t="s">
        <v>13</v>
      </c>
      <c r="D173" s="4">
        <v>5.0</v>
      </c>
      <c r="F173" s="2">
        <v>169.0</v>
      </c>
      <c r="G173" s="2" t="s">
        <v>847</v>
      </c>
      <c r="H173" s="2" t="s">
        <v>13</v>
      </c>
      <c r="I173" s="2">
        <v>5.0</v>
      </c>
      <c r="K173" s="2">
        <v>169.0</v>
      </c>
      <c r="L173" s="2" t="s">
        <v>848</v>
      </c>
      <c r="M173" s="2" t="s">
        <v>13</v>
      </c>
      <c r="N173" s="2">
        <v>5.0</v>
      </c>
      <c r="P173" s="2">
        <v>169.0</v>
      </c>
      <c r="Q173" s="2" t="s">
        <v>849</v>
      </c>
      <c r="R173" s="2" t="s">
        <v>17</v>
      </c>
      <c r="S173" s="2">
        <v>10.0</v>
      </c>
      <c r="U173" s="2">
        <v>169.0</v>
      </c>
      <c r="V173" s="2" t="s">
        <v>850</v>
      </c>
      <c r="W173" s="2" t="s">
        <v>17</v>
      </c>
      <c r="X173" s="2">
        <v>5.0</v>
      </c>
    </row>
    <row r="174">
      <c r="A174" s="2">
        <v>170.0</v>
      </c>
      <c r="B174" s="2" t="s">
        <v>851</v>
      </c>
      <c r="C174" s="2" t="s">
        <v>13</v>
      </c>
      <c r="D174" s="4">
        <v>10.0</v>
      </c>
      <c r="F174" s="2">
        <v>170.0</v>
      </c>
      <c r="G174" s="2" t="s">
        <v>852</v>
      </c>
      <c r="H174" s="2" t="s">
        <v>13</v>
      </c>
      <c r="I174" s="2">
        <v>10.0</v>
      </c>
      <c r="K174" s="2">
        <v>170.0</v>
      </c>
      <c r="L174" s="2" t="s">
        <v>853</v>
      </c>
      <c r="M174" s="2" t="s">
        <v>13</v>
      </c>
      <c r="N174" s="2">
        <v>5.0</v>
      </c>
      <c r="P174" s="2">
        <v>170.0</v>
      </c>
      <c r="Q174" s="2" t="s">
        <v>854</v>
      </c>
      <c r="R174" s="2" t="s">
        <v>17</v>
      </c>
      <c r="S174" s="2">
        <v>5.0</v>
      </c>
      <c r="U174" s="2">
        <v>170.0</v>
      </c>
      <c r="V174" s="2" t="s">
        <v>855</v>
      </c>
      <c r="W174" s="2" t="s">
        <v>17</v>
      </c>
      <c r="X174" s="2">
        <v>10.0</v>
      </c>
    </row>
    <row r="175">
      <c r="A175" s="2">
        <v>171.0</v>
      </c>
      <c r="B175" s="2" t="s">
        <v>856</v>
      </c>
      <c r="C175" s="2" t="s">
        <v>13</v>
      </c>
      <c r="D175" s="4">
        <v>10.0</v>
      </c>
      <c r="F175" s="2">
        <v>171.0</v>
      </c>
      <c r="G175" s="2" t="s">
        <v>857</v>
      </c>
      <c r="H175" s="2" t="s">
        <v>13</v>
      </c>
      <c r="I175" s="2">
        <v>10.0</v>
      </c>
      <c r="K175" s="2">
        <v>171.0</v>
      </c>
      <c r="L175" s="2" t="s">
        <v>858</v>
      </c>
      <c r="M175" s="2" t="s">
        <v>13</v>
      </c>
      <c r="N175" s="2">
        <v>10.0</v>
      </c>
      <c r="P175" s="2">
        <v>171.0</v>
      </c>
      <c r="Q175" s="2" t="s">
        <v>859</v>
      </c>
      <c r="R175" s="2" t="s">
        <v>17</v>
      </c>
      <c r="S175" s="2">
        <v>5.0</v>
      </c>
      <c r="U175" s="2">
        <v>171.0</v>
      </c>
      <c r="V175" s="2" t="s">
        <v>860</v>
      </c>
      <c r="W175" s="2" t="s">
        <v>17</v>
      </c>
      <c r="X175" s="2">
        <v>10.0</v>
      </c>
    </row>
    <row r="176">
      <c r="A176" s="2">
        <v>172.0</v>
      </c>
      <c r="B176" s="2" t="s">
        <v>861</v>
      </c>
      <c r="C176" s="2" t="s">
        <v>13</v>
      </c>
      <c r="D176" s="4">
        <v>5.0</v>
      </c>
      <c r="F176" s="2">
        <v>172.0</v>
      </c>
      <c r="G176" s="2" t="s">
        <v>862</v>
      </c>
      <c r="H176" s="2" t="s">
        <v>13</v>
      </c>
      <c r="I176" s="2">
        <v>5.0</v>
      </c>
      <c r="K176" s="2">
        <v>172.0</v>
      </c>
      <c r="L176" s="2" t="s">
        <v>863</v>
      </c>
      <c r="M176" s="2" t="s">
        <v>13</v>
      </c>
      <c r="N176" s="2">
        <v>10.0</v>
      </c>
      <c r="P176" s="2">
        <v>172.0</v>
      </c>
      <c r="Q176" s="2" t="s">
        <v>864</v>
      </c>
      <c r="R176" s="2" t="s">
        <v>17</v>
      </c>
      <c r="S176" s="2">
        <v>5.0</v>
      </c>
      <c r="U176" s="2">
        <v>172.0</v>
      </c>
      <c r="V176" s="2" t="s">
        <v>865</v>
      </c>
      <c r="W176" s="2" t="s">
        <v>17</v>
      </c>
      <c r="X176" s="2">
        <v>5.0</v>
      </c>
    </row>
    <row r="177">
      <c r="A177" s="2">
        <v>173.0</v>
      </c>
      <c r="B177" s="2" t="s">
        <v>866</v>
      </c>
      <c r="C177" s="2" t="s">
        <v>13</v>
      </c>
      <c r="D177" s="4">
        <v>10.0</v>
      </c>
      <c r="F177" s="2">
        <v>173.0</v>
      </c>
      <c r="G177" s="2" t="s">
        <v>867</v>
      </c>
      <c r="H177" s="2" t="s">
        <v>13</v>
      </c>
      <c r="I177" s="2">
        <v>10.0</v>
      </c>
      <c r="K177" s="2">
        <v>173.0</v>
      </c>
      <c r="L177" s="2" t="s">
        <v>868</v>
      </c>
      <c r="M177" s="2" t="s">
        <v>13</v>
      </c>
      <c r="N177" s="2">
        <v>10.0</v>
      </c>
      <c r="P177" s="2">
        <v>173.0</v>
      </c>
      <c r="Q177" s="2" t="s">
        <v>869</v>
      </c>
      <c r="R177" s="2" t="s">
        <v>17</v>
      </c>
      <c r="S177" s="2">
        <v>5.0</v>
      </c>
      <c r="U177" s="2">
        <v>173.0</v>
      </c>
      <c r="V177" s="2" t="s">
        <v>870</v>
      </c>
      <c r="W177" s="2" t="s">
        <v>17</v>
      </c>
      <c r="X177" s="2">
        <v>5.0</v>
      </c>
    </row>
    <row r="178">
      <c r="A178" s="2">
        <v>174.0</v>
      </c>
      <c r="B178" s="2" t="s">
        <v>871</v>
      </c>
      <c r="C178" s="2" t="s">
        <v>13</v>
      </c>
      <c r="D178" s="4">
        <v>10.0</v>
      </c>
      <c r="F178" s="2">
        <v>174.0</v>
      </c>
      <c r="G178" s="2" t="s">
        <v>872</v>
      </c>
      <c r="H178" s="2" t="s">
        <v>13</v>
      </c>
      <c r="I178" s="2">
        <v>5.0</v>
      </c>
      <c r="K178" s="2">
        <v>174.0</v>
      </c>
      <c r="L178" s="2" t="s">
        <v>873</v>
      </c>
      <c r="M178" s="2" t="s">
        <v>13</v>
      </c>
      <c r="N178" s="2">
        <v>5.0</v>
      </c>
      <c r="P178" s="2">
        <v>174.0</v>
      </c>
      <c r="Q178" s="2" t="s">
        <v>874</v>
      </c>
      <c r="R178" s="2" t="s">
        <v>17</v>
      </c>
      <c r="S178" s="2">
        <v>10.0</v>
      </c>
      <c r="U178" s="2">
        <v>174.0</v>
      </c>
      <c r="V178" s="2" t="s">
        <v>875</v>
      </c>
      <c r="W178" s="2" t="s">
        <v>17</v>
      </c>
      <c r="X178" s="2">
        <v>10.0</v>
      </c>
    </row>
    <row r="179">
      <c r="A179" s="2">
        <v>175.0</v>
      </c>
      <c r="B179" s="2" t="s">
        <v>876</v>
      </c>
      <c r="C179" s="2" t="s">
        <v>13</v>
      </c>
      <c r="D179" s="4">
        <v>10.0</v>
      </c>
      <c r="F179" s="2">
        <v>175.0</v>
      </c>
      <c r="G179" s="2" t="s">
        <v>877</v>
      </c>
      <c r="H179" s="2" t="s">
        <v>13</v>
      </c>
      <c r="I179" s="2">
        <v>10.0</v>
      </c>
      <c r="K179" s="2">
        <v>175.0</v>
      </c>
      <c r="L179" s="2" t="s">
        <v>878</v>
      </c>
      <c r="M179" s="2" t="s">
        <v>13</v>
      </c>
      <c r="N179" s="2">
        <v>10.0</v>
      </c>
      <c r="P179" s="2">
        <v>175.0</v>
      </c>
      <c r="Q179" s="2" t="s">
        <v>879</v>
      </c>
      <c r="R179" s="2" t="s">
        <v>17</v>
      </c>
      <c r="S179" s="2">
        <v>10.0</v>
      </c>
      <c r="U179" s="2">
        <v>175.0</v>
      </c>
      <c r="V179" s="2" t="s">
        <v>880</v>
      </c>
      <c r="W179" s="2" t="s">
        <v>17</v>
      </c>
      <c r="X179" s="2">
        <v>5.0</v>
      </c>
    </row>
    <row r="180">
      <c r="A180" s="2">
        <v>176.0</v>
      </c>
      <c r="B180" s="2" t="s">
        <v>881</v>
      </c>
      <c r="C180" s="2" t="s">
        <v>13</v>
      </c>
      <c r="D180" s="4">
        <v>10.0</v>
      </c>
      <c r="F180" s="2">
        <v>176.0</v>
      </c>
      <c r="G180" s="2" t="s">
        <v>882</v>
      </c>
      <c r="H180" s="2" t="s">
        <v>13</v>
      </c>
      <c r="I180" s="2">
        <v>10.0</v>
      </c>
      <c r="K180" s="2">
        <v>176.0</v>
      </c>
      <c r="L180" s="2" t="s">
        <v>883</v>
      </c>
      <c r="M180" s="2" t="s">
        <v>13</v>
      </c>
      <c r="N180" s="2">
        <v>5.0</v>
      </c>
      <c r="P180" s="2">
        <v>176.0</v>
      </c>
      <c r="Q180" s="2" t="s">
        <v>884</v>
      </c>
      <c r="R180" s="2" t="s">
        <v>17</v>
      </c>
      <c r="S180" s="2">
        <v>5.0</v>
      </c>
      <c r="U180" s="2">
        <v>176.0</v>
      </c>
      <c r="V180" s="2" t="s">
        <v>885</v>
      </c>
      <c r="W180" s="2" t="s">
        <v>17</v>
      </c>
      <c r="X180" s="2">
        <v>5.0</v>
      </c>
    </row>
    <row r="181">
      <c r="A181" s="2">
        <v>177.0</v>
      </c>
      <c r="B181" s="2" t="s">
        <v>886</v>
      </c>
      <c r="C181" s="2" t="s">
        <v>13</v>
      </c>
      <c r="D181" s="4">
        <v>5.0</v>
      </c>
      <c r="F181" s="2">
        <v>177.0</v>
      </c>
      <c r="G181" s="2" t="s">
        <v>887</v>
      </c>
      <c r="H181" s="2" t="s">
        <v>13</v>
      </c>
      <c r="I181" s="2">
        <v>5.0</v>
      </c>
      <c r="K181" s="2">
        <v>177.0</v>
      </c>
      <c r="L181" s="2" t="s">
        <v>888</v>
      </c>
      <c r="M181" s="2" t="s">
        <v>13</v>
      </c>
      <c r="N181" s="2">
        <v>5.0</v>
      </c>
      <c r="P181" s="2">
        <v>177.0</v>
      </c>
      <c r="Q181" s="2" t="s">
        <v>889</v>
      </c>
      <c r="R181" s="2" t="s">
        <v>17</v>
      </c>
      <c r="S181" s="2">
        <v>10.0</v>
      </c>
      <c r="U181" s="2">
        <v>177.0</v>
      </c>
      <c r="V181" s="2" t="s">
        <v>890</v>
      </c>
      <c r="W181" s="2" t="s">
        <v>17</v>
      </c>
      <c r="X181" s="2">
        <v>5.0</v>
      </c>
    </row>
    <row r="182">
      <c r="A182" s="2">
        <v>178.0</v>
      </c>
      <c r="B182" s="2" t="s">
        <v>891</v>
      </c>
      <c r="C182" s="2" t="s">
        <v>13</v>
      </c>
      <c r="D182" s="4">
        <v>10.0</v>
      </c>
      <c r="F182" s="2">
        <v>178.0</v>
      </c>
      <c r="G182" s="2" t="s">
        <v>892</v>
      </c>
      <c r="H182" s="2" t="s">
        <v>13</v>
      </c>
      <c r="I182" s="2">
        <v>5.0</v>
      </c>
      <c r="K182" s="2">
        <v>178.0</v>
      </c>
      <c r="L182" s="2" t="s">
        <v>893</v>
      </c>
      <c r="M182" s="2" t="s">
        <v>13</v>
      </c>
      <c r="N182" s="2">
        <v>10.0</v>
      </c>
      <c r="P182" s="2">
        <v>178.0</v>
      </c>
      <c r="Q182" s="2" t="s">
        <v>894</v>
      </c>
      <c r="R182" s="2" t="s">
        <v>17</v>
      </c>
      <c r="S182" s="2">
        <v>5.0</v>
      </c>
      <c r="U182" s="2">
        <v>178.0</v>
      </c>
      <c r="V182" s="2" t="s">
        <v>895</v>
      </c>
      <c r="W182" s="2" t="s">
        <v>17</v>
      </c>
      <c r="X182" s="2">
        <v>10.0</v>
      </c>
    </row>
    <row r="183">
      <c r="A183" s="2">
        <v>179.0</v>
      </c>
      <c r="B183" s="2" t="s">
        <v>896</v>
      </c>
      <c r="C183" s="2" t="s">
        <v>13</v>
      </c>
      <c r="D183" s="4">
        <v>10.0</v>
      </c>
      <c r="F183" s="2">
        <v>179.0</v>
      </c>
      <c r="G183" s="2" t="s">
        <v>897</v>
      </c>
      <c r="H183" s="2" t="s">
        <v>13</v>
      </c>
      <c r="I183" s="2">
        <v>5.0</v>
      </c>
      <c r="K183" s="2">
        <v>179.0</v>
      </c>
      <c r="L183" s="2" t="s">
        <v>898</v>
      </c>
      <c r="M183" s="2" t="s">
        <v>13</v>
      </c>
      <c r="N183" s="2">
        <v>10.0</v>
      </c>
      <c r="P183" s="2">
        <v>179.0</v>
      </c>
      <c r="Q183" s="2" t="s">
        <v>899</v>
      </c>
      <c r="R183" s="2" t="s">
        <v>17</v>
      </c>
      <c r="S183" s="2">
        <v>10.0</v>
      </c>
      <c r="U183" s="2">
        <v>179.0</v>
      </c>
      <c r="V183" s="2" t="s">
        <v>900</v>
      </c>
      <c r="W183" s="2" t="s">
        <v>17</v>
      </c>
      <c r="X183" s="2">
        <v>10.0</v>
      </c>
    </row>
    <row r="184">
      <c r="A184" s="2">
        <v>180.0</v>
      </c>
      <c r="B184" s="2" t="s">
        <v>901</v>
      </c>
      <c r="C184" s="2" t="s">
        <v>13</v>
      </c>
      <c r="D184" s="4">
        <v>5.0</v>
      </c>
      <c r="F184" s="2">
        <v>180.0</v>
      </c>
      <c r="G184" s="2" t="s">
        <v>902</v>
      </c>
      <c r="H184" s="2" t="s">
        <v>13</v>
      </c>
      <c r="I184" s="2">
        <v>5.0</v>
      </c>
      <c r="K184" s="2">
        <v>180.0</v>
      </c>
      <c r="L184" s="2" t="s">
        <v>903</v>
      </c>
      <c r="M184" s="2" t="s">
        <v>13</v>
      </c>
      <c r="N184" s="2">
        <v>10.0</v>
      </c>
      <c r="P184" s="2">
        <v>180.0</v>
      </c>
      <c r="Q184" s="2" t="s">
        <v>904</v>
      </c>
      <c r="R184" s="2" t="s">
        <v>17</v>
      </c>
      <c r="S184" s="2">
        <v>10.0</v>
      </c>
      <c r="U184" s="2">
        <v>180.0</v>
      </c>
      <c r="V184" s="2" t="s">
        <v>905</v>
      </c>
      <c r="W184" s="2" t="s">
        <v>17</v>
      </c>
      <c r="X184" s="2">
        <v>5.0</v>
      </c>
    </row>
    <row r="185">
      <c r="A185" s="2">
        <v>181.0</v>
      </c>
      <c r="B185" s="2" t="s">
        <v>906</v>
      </c>
      <c r="C185" s="2" t="s">
        <v>13</v>
      </c>
      <c r="D185" s="3">
        <v>5.0</v>
      </c>
      <c r="F185" s="2">
        <v>181.0</v>
      </c>
      <c r="G185" s="2" t="s">
        <v>907</v>
      </c>
      <c r="H185" s="2" t="s">
        <v>13</v>
      </c>
      <c r="I185" s="2">
        <v>10.0</v>
      </c>
      <c r="K185" s="2">
        <v>181.0</v>
      </c>
      <c r="L185" s="2" t="s">
        <v>908</v>
      </c>
      <c r="M185" s="2" t="s">
        <v>13</v>
      </c>
      <c r="N185" s="2">
        <v>5.0</v>
      </c>
      <c r="P185" s="2">
        <v>181.0</v>
      </c>
      <c r="Q185" s="2" t="s">
        <v>909</v>
      </c>
      <c r="R185" s="2" t="s">
        <v>17</v>
      </c>
      <c r="S185" s="2">
        <v>10.0</v>
      </c>
      <c r="U185" s="2">
        <v>181.0</v>
      </c>
      <c r="V185" s="2" t="s">
        <v>910</v>
      </c>
      <c r="W185" s="2" t="s">
        <v>17</v>
      </c>
      <c r="X185" s="2">
        <v>5.0</v>
      </c>
    </row>
    <row r="186">
      <c r="A186" s="2">
        <v>182.0</v>
      </c>
      <c r="B186" s="2" t="s">
        <v>911</v>
      </c>
      <c r="C186" s="2" t="s">
        <v>13</v>
      </c>
      <c r="D186" s="4">
        <v>5.0</v>
      </c>
      <c r="F186" s="2">
        <v>182.0</v>
      </c>
      <c r="G186" s="2" t="s">
        <v>912</v>
      </c>
      <c r="H186" s="2" t="s">
        <v>13</v>
      </c>
      <c r="I186" s="2">
        <v>5.0</v>
      </c>
      <c r="K186" s="2">
        <v>182.0</v>
      </c>
      <c r="L186" s="2" t="s">
        <v>913</v>
      </c>
      <c r="M186" s="2" t="s">
        <v>13</v>
      </c>
      <c r="N186" s="2">
        <v>5.0</v>
      </c>
      <c r="P186" s="2">
        <v>182.0</v>
      </c>
      <c r="Q186" s="2" t="s">
        <v>914</v>
      </c>
      <c r="R186" s="2" t="s">
        <v>17</v>
      </c>
      <c r="S186" s="2">
        <v>5.0</v>
      </c>
      <c r="U186" s="2">
        <v>182.0</v>
      </c>
      <c r="V186" s="2" t="s">
        <v>915</v>
      </c>
      <c r="W186" s="2" t="s">
        <v>17</v>
      </c>
      <c r="X186" s="2">
        <v>5.0</v>
      </c>
    </row>
    <row r="187">
      <c r="A187" s="2">
        <v>183.0</v>
      </c>
      <c r="B187" s="2" t="s">
        <v>916</v>
      </c>
      <c r="C187" s="2" t="s">
        <v>13</v>
      </c>
      <c r="D187" s="4">
        <v>5.0</v>
      </c>
      <c r="F187" s="2">
        <v>183.0</v>
      </c>
      <c r="G187" s="2" t="s">
        <v>917</v>
      </c>
      <c r="H187" s="2" t="s">
        <v>13</v>
      </c>
      <c r="I187" s="2">
        <v>10.0</v>
      </c>
      <c r="K187" s="2">
        <v>183.0</v>
      </c>
      <c r="L187" s="2" t="s">
        <v>918</v>
      </c>
      <c r="M187" s="2" t="s">
        <v>13</v>
      </c>
      <c r="N187" s="2">
        <v>10.0</v>
      </c>
      <c r="P187" s="2">
        <v>183.0</v>
      </c>
      <c r="Q187" s="2" t="s">
        <v>919</v>
      </c>
      <c r="R187" s="2" t="s">
        <v>17</v>
      </c>
      <c r="S187" s="2">
        <v>5.0</v>
      </c>
      <c r="U187" s="2">
        <v>183.0</v>
      </c>
      <c r="V187" s="2" t="s">
        <v>920</v>
      </c>
      <c r="W187" s="2" t="s">
        <v>17</v>
      </c>
      <c r="X187" s="2">
        <v>5.0</v>
      </c>
    </row>
    <row r="188">
      <c r="A188" s="2">
        <v>184.0</v>
      </c>
      <c r="B188" s="2" t="s">
        <v>921</v>
      </c>
      <c r="C188" s="2" t="s">
        <v>13</v>
      </c>
      <c r="D188" s="4">
        <v>5.0</v>
      </c>
      <c r="F188" s="2">
        <v>184.0</v>
      </c>
      <c r="G188" s="2" t="s">
        <v>922</v>
      </c>
      <c r="H188" s="2" t="s">
        <v>13</v>
      </c>
      <c r="I188" s="2">
        <v>10.0</v>
      </c>
      <c r="K188" s="2">
        <v>184.0</v>
      </c>
      <c r="L188" s="2" t="s">
        <v>923</v>
      </c>
      <c r="M188" s="2" t="s">
        <v>13</v>
      </c>
      <c r="N188" s="2">
        <v>5.0</v>
      </c>
      <c r="P188" s="2">
        <v>184.0</v>
      </c>
      <c r="Q188" s="2" t="s">
        <v>924</v>
      </c>
      <c r="R188" s="2" t="s">
        <v>17</v>
      </c>
      <c r="S188" s="2">
        <v>5.0</v>
      </c>
      <c r="U188" s="2">
        <v>184.0</v>
      </c>
      <c r="V188" s="2" t="s">
        <v>925</v>
      </c>
      <c r="W188" s="2" t="s">
        <v>17</v>
      </c>
      <c r="X188" s="2">
        <v>5.0</v>
      </c>
    </row>
    <row r="189">
      <c r="A189" s="2">
        <v>185.0</v>
      </c>
      <c r="B189" s="2" t="s">
        <v>926</v>
      </c>
      <c r="C189" s="2" t="s">
        <v>13</v>
      </c>
      <c r="D189" s="4">
        <v>10.0</v>
      </c>
      <c r="F189" s="2">
        <v>185.0</v>
      </c>
      <c r="G189" s="2" t="s">
        <v>927</v>
      </c>
      <c r="H189" s="2" t="s">
        <v>13</v>
      </c>
      <c r="I189" s="2">
        <v>10.0</v>
      </c>
      <c r="K189" s="2">
        <v>185.0</v>
      </c>
      <c r="L189" s="2" t="s">
        <v>928</v>
      </c>
      <c r="M189" s="2" t="s">
        <v>13</v>
      </c>
      <c r="N189" s="2">
        <v>5.0</v>
      </c>
      <c r="P189" s="2">
        <v>185.0</v>
      </c>
      <c r="Q189" s="2" t="s">
        <v>929</v>
      </c>
      <c r="R189" s="2" t="s">
        <v>17</v>
      </c>
      <c r="S189" s="2">
        <v>10.0</v>
      </c>
      <c r="U189" s="2">
        <v>185.0</v>
      </c>
      <c r="V189" s="2" t="s">
        <v>930</v>
      </c>
      <c r="W189" s="2" t="s">
        <v>17</v>
      </c>
      <c r="X189" s="2">
        <v>10.0</v>
      </c>
    </row>
    <row r="190">
      <c r="D190" s="4"/>
      <c r="F190" s="2">
        <v>186.0</v>
      </c>
      <c r="G190" s="2" t="s">
        <v>931</v>
      </c>
      <c r="H190" s="2" t="s">
        <v>13</v>
      </c>
      <c r="I190" s="2">
        <v>5.0</v>
      </c>
      <c r="K190" s="2">
        <v>186.0</v>
      </c>
      <c r="L190" s="2" t="s">
        <v>932</v>
      </c>
      <c r="M190" s="2" t="s">
        <v>13</v>
      </c>
      <c r="N190" s="2">
        <v>10.0</v>
      </c>
      <c r="P190" s="2">
        <v>186.0</v>
      </c>
      <c r="Q190" s="2" t="s">
        <v>933</v>
      </c>
      <c r="R190" s="2" t="s">
        <v>17</v>
      </c>
      <c r="S190" s="2">
        <v>5.0</v>
      </c>
      <c r="U190" s="2">
        <v>186.0</v>
      </c>
      <c r="V190" s="2" t="s">
        <v>934</v>
      </c>
      <c r="W190" s="2" t="s">
        <v>17</v>
      </c>
      <c r="X190" s="2">
        <v>5.0</v>
      </c>
    </row>
    <row r="191">
      <c r="A191" s="2">
        <v>187.0</v>
      </c>
      <c r="B191" s="2" t="s">
        <v>935</v>
      </c>
      <c r="C191" s="2" t="s">
        <v>13</v>
      </c>
      <c r="D191" s="4">
        <v>10.0</v>
      </c>
      <c r="F191" s="2">
        <v>187.0</v>
      </c>
      <c r="G191" s="2" t="s">
        <v>936</v>
      </c>
      <c r="H191" s="2" t="s">
        <v>13</v>
      </c>
      <c r="I191" s="2">
        <v>5.0</v>
      </c>
      <c r="P191" s="2">
        <v>187.0</v>
      </c>
      <c r="Q191" s="2" t="s">
        <v>937</v>
      </c>
      <c r="R191" s="2" t="s">
        <v>17</v>
      </c>
      <c r="S191" s="2">
        <v>10.0</v>
      </c>
      <c r="U191" s="2">
        <v>187.0</v>
      </c>
      <c r="V191" s="2" t="s">
        <v>938</v>
      </c>
      <c r="W191" s="2" t="s">
        <v>17</v>
      </c>
      <c r="X191" s="2">
        <v>10.0</v>
      </c>
    </row>
    <row r="192">
      <c r="A192" s="2">
        <v>188.0</v>
      </c>
      <c r="B192" s="2" t="s">
        <v>939</v>
      </c>
      <c r="C192" s="2" t="s">
        <v>13</v>
      </c>
      <c r="D192" s="4">
        <v>5.0</v>
      </c>
      <c r="F192" s="2">
        <v>188.0</v>
      </c>
      <c r="G192" s="2" t="s">
        <v>940</v>
      </c>
      <c r="H192" s="2" t="s">
        <v>13</v>
      </c>
      <c r="I192" s="2">
        <v>10.0</v>
      </c>
      <c r="P192" s="2">
        <v>188.0</v>
      </c>
      <c r="Q192" s="2" t="s">
        <v>941</v>
      </c>
      <c r="R192" s="2" t="s">
        <v>17</v>
      </c>
      <c r="S192" s="2">
        <v>5.0</v>
      </c>
      <c r="U192" s="2">
        <v>188.0</v>
      </c>
      <c r="V192" s="2" t="s">
        <v>942</v>
      </c>
      <c r="W192" s="2" t="s">
        <v>17</v>
      </c>
      <c r="X192" s="2">
        <v>10.0</v>
      </c>
    </row>
    <row r="193">
      <c r="A193" s="2">
        <v>189.0</v>
      </c>
      <c r="B193" s="2" t="s">
        <v>943</v>
      </c>
      <c r="C193" s="2" t="s">
        <v>13</v>
      </c>
      <c r="D193" s="4">
        <v>5.0</v>
      </c>
      <c r="F193" s="2">
        <v>189.0</v>
      </c>
      <c r="G193" s="2" t="s">
        <v>944</v>
      </c>
      <c r="H193" s="2" t="s">
        <v>13</v>
      </c>
      <c r="I193" s="2">
        <v>5.0</v>
      </c>
      <c r="K193" s="2">
        <v>189.0</v>
      </c>
      <c r="L193" s="2" t="s">
        <v>945</v>
      </c>
      <c r="M193" s="2" t="s">
        <v>13</v>
      </c>
      <c r="N193" s="2">
        <v>5.0</v>
      </c>
      <c r="P193" s="2">
        <v>189.0</v>
      </c>
      <c r="Q193" s="2" t="s">
        <v>946</v>
      </c>
      <c r="R193" s="2" t="s">
        <v>17</v>
      </c>
      <c r="S193" s="2">
        <v>10.0</v>
      </c>
      <c r="U193" s="2">
        <v>189.0</v>
      </c>
      <c r="V193" s="2" t="s">
        <v>947</v>
      </c>
      <c r="W193" s="2" t="s">
        <v>17</v>
      </c>
      <c r="X193" s="2">
        <v>10.0</v>
      </c>
    </row>
    <row r="194">
      <c r="A194" s="2">
        <v>190.0</v>
      </c>
      <c r="B194" s="2" t="s">
        <v>948</v>
      </c>
      <c r="C194" s="2" t="s">
        <v>13</v>
      </c>
      <c r="D194" s="4">
        <v>10.0</v>
      </c>
      <c r="F194" s="2">
        <v>190.0</v>
      </c>
      <c r="G194" s="2" t="s">
        <v>949</v>
      </c>
      <c r="H194" s="2" t="s">
        <v>13</v>
      </c>
      <c r="I194" s="2">
        <v>10.0</v>
      </c>
      <c r="P194" s="2">
        <v>190.0</v>
      </c>
      <c r="Q194" s="2" t="s">
        <v>950</v>
      </c>
      <c r="R194" s="2" t="s">
        <v>17</v>
      </c>
      <c r="S194" s="2">
        <v>10.0</v>
      </c>
      <c r="U194" s="2">
        <v>190.0</v>
      </c>
      <c r="V194" s="2" t="s">
        <v>951</v>
      </c>
      <c r="W194" s="2" t="s">
        <v>17</v>
      </c>
      <c r="X194" s="2">
        <v>10.0</v>
      </c>
    </row>
    <row r="195">
      <c r="A195" s="2">
        <v>191.0</v>
      </c>
      <c r="B195" s="2" t="s">
        <v>952</v>
      </c>
      <c r="C195" s="2" t="s">
        <v>13</v>
      </c>
      <c r="D195" s="4">
        <v>5.0</v>
      </c>
      <c r="F195" s="2">
        <v>191.0</v>
      </c>
      <c r="G195" s="2" t="s">
        <v>953</v>
      </c>
      <c r="H195" s="2" t="s">
        <v>13</v>
      </c>
      <c r="I195" s="2">
        <v>5.0</v>
      </c>
      <c r="P195" s="2">
        <v>191.0</v>
      </c>
      <c r="Q195" s="2" t="s">
        <v>954</v>
      </c>
      <c r="R195" s="2" t="s">
        <v>17</v>
      </c>
      <c r="S195" s="2">
        <v>10.0</v>
      </c>
      <c r="U195" s="2">
        <v>191.0</v>
      </c>
      <c r="V195" s="2" t="s">
        <v>955</v>
      </c>
      <c r="W195" s="2" t="s">
        <v>17</v>
      </c>
      <c r="X195" s="2">
        <v>5.0</v>
      </c>
    </row>
    <row r="196">
      <c r="A196" s="2">
        <v>192.0</v>
      </c>
      <c r="B196" s="2" t="s">
        <v>956</v>
      </c>
      <c r="C196" s="2" t="s">
        <v>13</v>
      </c>
      <c r="D196" s="4">
        <v>5.0</v>
      </c>
      <c r="F196" s="2">
        <v>192.0</v>
      </c>
      <c r="G196" s="2" t="s">
        <v>957</v>
      </c>
      <c r="H196" s="2" t="s">
        <v>13</v>
      </c>
      <c r="I196" s="2">
        <v>5.0</v>
      </c>
      <c r="K196" s="2">
        <v>192.0</v>
      </c>
      <c r="L196" s="2" t="s">
        <v>958</v>
      </c>
      <c r="M196" s="2" t="s">
        <v>13</v>
      </c>
      <c r="N196" s="2">
        <v>10.0</v>
      </c>
      <c r="P196" s="2">
        <v>192.0</v>
      </c>
      <c r="Q196" s="2" t="s">
        <v>959</v>
      </c>
      <c r="R196" s="2" t="s">
        <v>17</v>
      </c>
      <c r="S196" s="2">
        <v>10.0</v>
      </c>
      <c r="U196" s="2">
        <v>192.0</v>
      </c>
      <c r="V196" s="2" t="s">
        <v>960</v>
      </c>
      <c r="W196" s="2" t="s">
        <v>17</v>
      </c>
      <c r="X196" s="2">
        <v>5.0</v>
      </c>
    </row>
    <row r="197">
      <c r="A197" s="2">
        <v>193.0</v>
      </c>
      <c r="B197" s="2" t="s">
        <v>961</v>
      </c>
      <c r="C197" s="2" t="s">
        <v>13</v>
      </c>
      <c r="D197" s="4">
        <v>5.0</v>
      </c>
      <c r="F197" s="2">
        <v>193.0</v>
      </c>
      <c r="G197" s="2" t="s">
        <v>962</v>
      </c>
      <c r="H197" s="2" t="s">
        <v>13</v>
      </c>
      <c r="I197" s="2">
        <v>5.0</v>
      </c>
      <c r="K197" s="2">
        <v>193.0</v>
      </c>
      <c r="L197" s="2" t="s">
        <v>963</v>
      </c>
      <c r="M197" s="2" t="s">
        <v>13</v>
      </c>
      <c r="N197" s="2">
        <v>5.0</v>
      </c>
      <c r="P197" s="2">
        <v>193.0</v>
      </c>
      <c r="Q197" s="2" t="s">
        <v>964</v>
      </c>
      <c r="R197" s="2" t="s">
        <v>17</v>
      </c>
      <c r="S197" s="2">
        <v>5.0</v>
      </c>
      <c r="U197" s="2">
        <v>193.0</v>
      </c>
      <c r="V197" s="2" t="s">
        <v>965</v>
      </c>
      <c r="W197" s="2" t="s">
        <v>17</v>
      </c>
      <c r="X197" s="2">
        <v>5.0</v>
      </c>
    </row>
    <row r="198">
      <c r="A198" s="2">
        <v>194.0</v>
      </c>
      <c r="B198" s="2" t="s">
        <v>966</v>
      </c>
      <c r="C198" s="2" t="s">
        <v>13</v>
      </c>
      <c r="D198" s="3">
        <v>5.0</v>
      </c>
      <c r="F198" s="2">
        <v>194.0</v>
      </c>
      <c r="G198" s="2" t="s">
        <v>967</v>
      </c>
      <c r="H198" s="2" t="s">
        <v>13</v>
      </c>
      <c r="I198" s="2">
        <v>10.0</v>
      </c>
      <c r="K198" s="2">
        <v>194.0</v>
      </c>
      <c r="L198" s="2" t="s">
        <v>968</v>
      </c>
      <c r="M198" s="2" t="s">
        <v>13</v>
      </c>
      <c r="N198" s="2">
        <v>5.0</v>
      </c>
      <c r="P198" s="2">
        <v>194.0</v>
      </c>
      <c r="Q198" s="2" t="s">
        <v>969</v>
      </c>
      <c r="R198" s="2" t="s">
        <v>17</v>
      </c>
      <c r="S198" s="2">
        <v>5.0</v>
      </c>
      <c r="U198" s="2">
        <v>194.0</v>
      </c>
      <c r="V198" s="2" t="s">
        <v>970</v>
      </c>
      <c r="W198" s="2" t="s">
        <v>17</v>
      </c>
      <c r="X198" s="2">
        <v>5.0</v>
      </c>
    </row>
    <row r="199">
      <c r="A199" s="2">
        <v>195.0</v>
      </c>
      <c r="B199" s="2" t="s">
        <v>971</v>
      </c>
      <c r="C199" s="2" t="s">
        <v>13</v>
      </c>
      <c r="D199" s="4">
        <v>10.0</v>
      </c>
      <c r="F199" s="2">
        <v>195.0</v>
      </c>
      <c r="G199" s="2" t="s">
        <v>972</v>
      </c>
      <c r="H199" s="2" t="s">
        <v>13</v>
      </c>
      <c r="I199" s="2">
        <v>10.0</v>
      </c>
      <c r="K199" s="2">
        <v>195.0</v>
      </c>
      <c r="L199" s="2" t="s">
        <v>973</v>
      </c>
      <c r="M199" s="2" t="s">
        <v>13</v>
      </c>
      <c r="N199" s="2">
        <v>5.0</v>
      </c>
      <c r="P199" s="2">
        <v>195.0</v>
      </c>
      <c r="Q199" s="2" t="s">
        <v>974</v>
      </c>
      <c r="R199" s="2" t="s">
        <v>17</v>
      </c>
      <c r="S199" s="2">
        <v>10.0</v>
      </c>
      <c r="U199" s="2">
        <v>195.0</v>
      </c>
      <c r="V199" s="2" t="s">
        <v>975</v>
      </c>
      <c r="W199" s="2" t="s">
        <v>17</v>
      </c>
      <c r="X199" s="2">
        <v>10.0</v>
      </c>
    </row>
    <row r="200">
      <c r="A200" s="2">
        <v>196.0</v>
      </c>
      <c r="B200" s="2" t="s">
        <v>976</v>
      </c>
      <c r="C200" s="2" t="s">
        <v>13</v>
      </c>
      <c r="D200" s="4">
        <v>10.0</v>
      </c>
      <c r="F200" s="2">
        <v>196.0</v>
      </c>
      <c r="G200" s="2" t="s">
        <v>977</v>
      </c>
      <c r="H200" s="2" t="s">
        <v>13</v>
      </c>
      <c r="I200" s="2">
        <v>10.0</v>
      </c>
      <c r="K200" s="2">
        <v>196.0</v>
      </c>
      <c r="L200" s="2" t="s">
        <v>978</v>
      </c>
      <c r="M200" s="2" t="s">
        <v>13</v>
      </c>
      <c r="N200" s="2">
        <v>10.0</v>
      </c>
      <c r="P200" s="2">
        <v>196.0</v>
      </c>
      <c r="Q200" s="2" t="s">
        <v>979</v>
      </c>
      <c r="R200" s="2" t="s">
        <v>17</v>
      </c>
      <c r="S200" s="2">
        <v>10.0</v>
      </c>
      <c r="U200" s="2">
        <v>196.0</v>
      </c>
      <c r="V200" s="2" t="s">
        <v>980</v>
      </c>
      <c r="W200" s="2" t="s">
        <v>17</v>
      </c>
      <c r="X200" s="2">
        <v>10.0</v>
      </c>
    </row>
    <row r="201">
      <c r="A201" s="2">
        <v>197.0</v>
      </c>
      <c r="B201" s="2" t="s">
        <v>981</v>
      </c>
      <c r="C201" s="2" t="s">
        <v>13</v>
      </c>
      <c r="D201" s="4">
        <v>5.0</v>
      </c>
      <c r="F201" s="2">
        <v>197.0</v>
      </c>
      <c r="G201" s="2" t="s">
        <v>982</v>
      </c>
      <c r="H201" s="2" t="s">
        <v>13</v>
      </c>
      <c r="I201" s="2">
        <v>10.0</v>
      </c>
      <c r="K201" s="2">
        <v>197.0</v>
      </c>
      <c r="L201" s="2" t="s">
        <v>983</v>
      </c>
      <c r="M201" s="2" t="s">
        <v>13</v>
      </c>
      <c r="N201" s="2">
        <v>10.0</v>
      </c>
      <c r="P201" s="2">
        <v>197.0</v>
      </c>
      <c r="Q201" s="2" t="s">
        <v>984</v>
      </c>
      <c r="R201" s="2" t="s">
        <v>17</v>
      </c>
      <c r="S201" s="2">
        <v>5.0</v>
      </c>
      <c r="U201" s="2">
        <v>197.0</v>
      </c>
      <c r="V201" s="2" t="s">
        <v>985</v>
      </c>
      <c r="W201" s="2" t="s">
        <v>17</v>
      </c>
      <c r="X201" s="2">
        <v>5.0</v>
      </c>
    </row>
    <row r="202">
      <c r="A202" s="2">
        <v>198.0</v>
      </c>
      <c r="B202" s="2" t="s">
        <v>986</v>
      </c>
      <c r="C202" s="2" t="s">
        <v>13</v>
      </c>
      <c r="D202" s="4">
        <v>5.0</v>
      </c>
      <c r="F202" s="2">
        <v>198.0</v>
      </c>
      <c r="G202" s="2" t="s">
        <v>987</v>
      </c>
      <c r="H202" s="2" t="s">
        <v>13</v>
      </c>
      <c r="I202" s="2">
        <v>5.0</v>
      </c>
      <c r="K202" s="2">
        <v>198.0</v>
      </c>
      <c r="L202" s="2" t="s">
        <v>988</v>
      </c>
      <c r="M202" s="2" t="s">
        <v>13</v>
      </c>
      <c r="N202" s="2">
        <v>5.0</v>
      </c>
      <c r="P202" s="2">
        <v>198.0</v>
      </c>
      <c r="Q202" s="2" t="s">
        <v>989</v>
      </c>
      <c r="R202" s="2" t="s">
        <v>17</v>
      </c>
      <c r="S202" s="2">
        <v>10.0</v>
      </c>
      <c r="U202" s="2">
        <v>198.0</v>
      </c>
      <c r="V202" s="2" t="s">
        <v>990</v>
      </c>
      <c r="W202" s="2" t="s">
        <v>17</v>
      </c>
      <c r="X202" s="2">
        <v>5.0</v>
      </c>
    </row>
    <row r="203">
      <c r="A203" s="2">
        <v>199.0</v>
      </c>
      <c r="B203" s="2" t="s">
        <v>991</v>
      </c>
      <c r="C203" s="2" t="s">
        <v>13</v>
      </c>
      <c r="D203" s="4">
        <v>5.0</v>
      </c>
      <c r="F203" s="2">
        <v>199.0</v>
      </c>
      <c r="G203" s="2" t="s">
        <v>992</v>
      </c>
      <c r="H203" s="2" t="s">
        <v>13</v>
      </c>
      <c r="I203" s="2">
        <v>10.0</v>
      </c>
      <c r="K203" s="2">
        <v>199.0</v>
      </c>
      <c r="L203" s="2" t="s">
        <v>993</v>
      </c>
      <c r="M203" s="2" t="s">
        <v>13</v>
      </c>
      <c r="N203" s="2">
        <v>5.0</v>
      </c>
      <c r="P203" s="2">
        <v>199.0</v>
      </c>
      <c r="Q203" s="2" t="s">
        <v>994</v>
      </c>
      <c r="R203" s="2" t="s">
        <v>17</v>
      </c>
      <c r="S203" s="2">
        <v>5.0</v>
      </c>
      <c r="U203" s="2">
        <v>199.0</v>
      </c>
      <c r="V203" s="2" t="s">
        <v>995</v>
      </c>
      <c r="W203" s="2" t="s">
        <v>17</v>
      </c>
      <c r="X203" s="2">
        <v>5.0</v>
      </c>
    </row>
    <row r="206">
      <c r="B206" s="2" t="s">
        <v>996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17.5"/>
  </cols>
  <sheetData>
    <row r="1">
      <c r="A1" s="2" t="s">
        <v>997</v>
      </c>
      <c r="B1" s="2" t="s">
        <v>998</v>
      </c>
      <c r="C1" s="2" t="s">
        <v>9</v>
      </c>
      <c r="D1" s="5" t="s">
        <v>10</v>
      </c>
      <c r="E1" s="2" t="s">
        <v>999</v>
      </c>
      <c r="F1" s="2" t="s">
        <v>1000</v>
      </c>
    </row>
    <row r="2">
      <c r="A2" s="2" t="s">
        <v>1001</v>
      </c>
      <c r="B2" s="2">
        <v>0.0</v>
      </c>
      <c r="C2" s="2" t="s">
        <v>12</v>
      </c>
      <c r="D2" s="5" t="s">
        <v>13</v>
      </c>
      <c r="E2" s="2">
        <v>10.0</v>
      </c>
      <c r="F2" s="6">
        <f>IFERROR(__xludf.DUMMYFUNCTION("ARRAYFORMULA(IF(ROW(C2:C2001)=1,"""",IF(LEN(C2:C2001),VALUE(REGEXREPLACE(C2:C2001,""\[|\]"","""")),)))"),1.6360458000563)</f>
        <v>1.6360458</v>
      </c>
    </row>
    <row r="3">
      <c r="A3" s="2" t="s">
        <v>1001</v>
      </c>
      <c r="B3" s="2">
        <v>1.0</v>
      </c>
      <c r="C3" s="2" t="s">
        <v>19</v>
      </c>
      <c r="D3" s="5" t="s">
        <v>13</v>
      </c>
      <c r="E3" s="2">
        <v>10.0</v>
      </c>
      <c r="F3" s="6">
        <f>IFERROR(__xludf.DUMMYFUNCTION("""COMPUTED_VALUE"""),1.38128149998374)</f>
        <v>1.3812815</v>
      </c>
    </row>
    <row r="4">
      <c r="A4" s="6" t="str">
        <f t="shared" ref="A4:A201" si="1"> "P1"</f>
        <v>P1</v>
      </c>
      <c r="B4" s="2">
        <v>2.0</v>
      </c>
      <c r="C4" s="2" t="s">
        <v>24</v>
      </c>
      <c r="D4" s="5" t="s">
        <v>13</v>
      </c>
      <c r="E4" s="2">
        <v>5.0</v>
      </c>
      <c r="F4" s="6">
        <f>IFERROR(__xludf.DUMMYFUNCTION("""COMPUTED_VALUE"""),1.28247119998559)</f>
        <v>1.2824712</v>
      </c>
    </row>
    <row r="5">
      <c r="A5" s="6" t="str">
        <f t="shared" si="1"/>
        <v>P1</v>
      </c>
      <c r="B5" s="2">
        <v>3.0</v>
      </c>
      <c r="C5" s="2" t="s">
        <v>29</v>
      </c>
      <c r="D5" s="5" t="s">
        <v>13</v>
      </c>
      <c r="E5" s="2">
        <v>5.0</v>
      </c>
      <c r="F5" s="6">
        <f>IFERROR(__xludf.DUMMYFUNCTION("""COMPUTED_VALUE"""),1.40581809997092)</f>
        <v>1.4058181</v>
      </c>
    </row>
    <row r="6">
      <c r="A6" s="6" t="str">
        <f t="shared" si="1"/>
        <v>P1</v>
      </c>
      <c r="B6" s="2">
        <v>4.0</v>
      </c>
      <c r="C6" s="2" t="s">
        <v>34</v>
      </c>
      <c r="D6" s="5" t="s">
        <v>13</v>
      </c>
      <c r="E6" s="2">
        <v>10.0</v>
      </c>
      <c r="F6" s="6">
        <f>IFERROR(__xludf.DUMMYFUNCTION("""COMPUTED_VALUE"""),1.15263320005033)</f>
        <v>1.1526332</v>
      </c>
    </row>
    <row r="7">
      <c r="A7" s="6" t="str">
        <f t="shared" si="1"/>
        <v>P1</v>
      </c>
      <c r="B7" s="2">
        <v>5.0</v>
      </c>
      <c r="C7" s="2" t="s">
        <v>39</v>
      </c>
      <c r="D7" s="5" t="s">
        <v>13</v>
      </c>
      <c r="E7" s="2">
        <v>5.0</v>
      </c>
      <c r="F7" s="6">
        <f>IFERROR(__xludf.DUMMYFUNCTION("""COMPUTED_VALUE"""),1.21657669998239)</f>
        <v>1.2165767</v>
      </c>
    </row>
    <row r="8">
      <c r="A8" s="6" t="str">
        <f t="shared" si="1"/>
        <v>P1</v>
      </c>
      <c r="B8" s="2">
        <v>6.0</v>
      </c>
      <c r="C8" s="2" t="s">
        <v>44</v>
      </c>
      <c r="D8" s="5" t="s">
        <v>13</v>
      </c>
      <c r="E8" s="2">
        <v>5.0</v>
      </c>
      <c r="F8" s="6">
        <f>IFERROR(__xludf.DUMMYFUNCTION("""COMPUTED_VALUE"""),1.43243990000337)</f>
        <v>1.4324399</v>
      </c>
    </row>
    <row r="9">
      <c r="A9" s="6" t="str">
        <f t="shared" si="1"/>
        <v>P1</v>
      </c>
      <c r="B9" s="2">
        <v>7.0</v>
      </c>
      <c r="C9" s="2" t="s">
        <v>49</v>
      </c>
      <c r="D9" s="5" t="s">
        <v>13</v>
      </c>
      <c r="E9" s="2">
        <v>10.0</v>
      </c>
      <c r="F9" s="6">
        <f>IFERROR(__xludf.DUMMYFUNCTION("""COMPUTED_VALUE"""),1.32351949997246)</f>
        <v>1.3235195</v>
      </c>
    </row>
    <row r="10">
      <c r="A10" s="6" t="str">
        <f t="shared" si="1"/>
        <v>P1</v>
      </c>
      <c r="B10" s="2">
        <v>8.0</v>
      </c>
      <c r="C10" s="2" t="s">
        <v>54</v>
      </c>
      <c r="D10" s="5" t="s">
        <v>13</v>
      </c>
      <c r="E10" s="2">
        <v>10.0</v>
      </c>
      <c r="F10" s="6">
        <f>IFERROR(__xludf.DUMMYFUNCTION("""COMPUTED_VALUE"""),1.39951879996806)</f>
        <v>1.3995188</v>
      </c>
    </row>
    <row r="11">
      <c r="A11" s="6" t="str">
        <f t="shared" si="1"/>
        <v>P1</v>
      </c>
      <c r="B11" s="2">
        <v>9.0</v>
      </c>
      <c r="C11" s="2" t="s">
        <v>59</v>
      </c>
      <c r="D11" s="5" t="s">
        <v>13</v>
      </c>
      <c r="E11" s="2">
        <v>10.0</v>
      </c>
      <c r="F11" s="6">
        <f>IFERROR(__xludf.DUMMYFUNCTION("""COMPUTED_VALUE"""),1.49970129993744)</f>
        <v>1.4997013</v>
      </c>
    </row>
    <row r="12">
      <c r="A12" s="6" t="str">
        <f t="shared" si="1"/>
        <v>P1</v>
      </c>
      <c r="B12" s="2">
        <v>10.0</v>
      </c>
      <c r="C12" s="2" t="s">
        <v>64</v>
      </c>
      <c r="D12" s="5" t="s">
        <v>13</v>
      </c>
      <c r="E12" s="2">
        <v>10.0</v>
      </c>
      <c r="F12" s="6">
        <f>IFERROR(__xludf.DUMMYFUNCTION("""COMPUTED_VALUE"""),1.16904829989653)</f>
        <v>1.1690483</v>
      </c>
    </row>
    <row r="13">
      <c r="A13" s="6" t="str">
        <f t="shared" si="1"/>
        <v>P1</v>
      </c>
      <c r="B13" s="2">
        <v>11.0</v>
      </c>
      <c r="C13" s="2" t="s">
        <v>69</v>
      </c>
      <c r="D13" s="5" t="s">
        <v>13</v>
      </c>
      <c r="E13" s="2">
        <v>5.0</v>
      </c>
      <c r="F13" s="6">
        <f>IFERROR(__xludf.DUMMYFUNCTION("""COMPUTED_VALUE"""),1.10384060000069)</f>
        <v>1.1038406</v>
      </c>
    </row>
    <row r="14">
      <c r="A14" s="6" t="str">
        <f t="shared" si="1"/>
        <v>P1</v>
      </c>
      <c r="B14" s="2">
        <v>13.0</v>
      </c>
      <c r="C14" s="2" t="s">
        <v>78</v>
      </c>
      <c r="D14" s="5" t="s">
        <v>13</v>
      </c>
      <c r="E14" s="2">
        <v>5.0</v>
      </c>
      <c r="F14" s="6">
        <f>IFERROR(__xludf.DUMMYFUNCTION("""COMPUTED_VALUE"""),1.16615069995168)</f>
        <v>1.1661507</v>
      </c>
    </row>
    <row r="15">
      <c r="A15" s="6" t="str">
        <f t="shared" si="1"/>
        <v>P1</v>
      </c>
      <c r="B15" s="2">
        <v>14.0</v>
      </c>
      <c r="C15" s="2" t="s">
        <v>83</v>
      </c>
      <c r="D15" s="5" t="s">
        <v>13</v>
      </c>
      <c r="E15" s="2">
        <v>5.0</v>
      </c>
      <c r="F15" s="6">
        <f>IFERROR(__xludf.DUMMYFUNCTION("""COMPUTED_VALUE"""),1.08210529992356)</f>
        <v>1.0821053</v>
      </c>
    </row>
    <row r="16">
      <c r="A16" s="6" t="str">
        <f t="shared" si="1"/>
        <v>P1</v>
      </c>
      <c r="B16" s="2">
        <v>15.0</v>
      </c>
      <c r="C16" s="2" t="s">
        <v>88</v>
      </c>
      <c r="D16" s="5" t="s">
        <v>13</v>
      </c>
      <c r="E16" s="2">
        <v>5.0</v>
      </c>
      <c r="F16" s="6">
        <f>IFERROR(__xludf.DUMMYFUNCTION("""COMPUTED_VALUE"""),1.56986990000586)</f>
        <v>1.5698699</v>
      </c>
    </row>
    <row r="17">
      <c r="A17" s="6" t="str">
        <f t="shared" si="1"/>
        <v>P1</v>
      </c>
      <c r="B17" s="2">
        <v>16.0</v>
      </c>
      <c r="C17" s="2" t="s">
        <v>93</v>
      </c>
      <c r="D17" s="5" t="s">
        <v>13</v>
      </c>
      <c r="E17" s="2">
        <v>10.0</v>
      </c>
      <c r="F17" s="6">
        <f>IFERROR(__xludf.DUMMYFUNCTION("""COMPUTED_VALUE"""),3.45073000004049)</f>
        <v>3.45073</v>
      </c>
    </row>
    <row r="18">
      <c r="A18" s="6" t="str">
        <f t="shared" si="1"/>
        <v>P1</v>
      </c>
      <c r="B18" s="2">
        <v>18.0</v>
      </c>
      <c r="C18" s="2" t="s">
        <v>102</v>
      </c>
      <c r="D18" s="5" t="s">
        <v>13</v>
      </c>
      <c r="E18" s="2">
        <v>5.0</v>
      </c>
      <c r="F18" s="6">
        <f>IFERROR(__xludf.DUMMYFUNCTION("""COMPUTED_VALUE"""),1.25074390007648)</f>
        <v>1.2507439</v>
      </c>
    </row>
    <row r="19">
      <c r="A19" s="6" t="str">
        <f t="shared" si="1"/>
        <v>P1</v>
      </c>
      <c r="B19" s="2">
        <v>19.0</v>
      </c>
      <c r="C19" s="2" t="s">
        <v>107</v>
      </c>
      <c r="D19" s="5" t="s">
        <v>13</v>
      </c>
      <c r="E19" s="2">
        <v>5.0</v>
      </c>
      <c r="F19" s="6">
        <f>IFERROR(__xludf.DUMMYFUNCTION("""COMPUTED_VALUE"""),2.98826020001433)</f>
        <v>2.9882602</v>
      </c>
    </row>
    <row r="20">
      <c r="A20" s="6" t="str">
        <f t="shared" si="1"/>
        <v>P1</v>
      </c>
      <c r="B20" s="2">
        <v>20.0</v>
      </c>
      <c r="C20" s="2" t="s">
        <v>112</v>
      </c>
      <c r="D20" s="5" t="s">
        <v>13</v>
      </c>
      <c r="E20" s="2">
        <v>5.0</v>
      </c>
      <c r="F20" s="6">
        <f>IFERROR(__xludf.DUMMYFUNCTION("""COMPUTED_VALUE"""),1.48258090007584)</f>
        <v>1.4825809</v>
      </c>
    </row>
    <row r="21">
      <c r="A21" s="6" t="str">
        <f t="shared" si="1"/>
        <v>P1</v>
      </c>
      <c r="B21" s="2">
        <v>21.0</v>
      </c>
      <c r="C21" s="2" t="s">
        <v>117</v>
      </c>
      <c r="D21" s="5" t="s">
        <v>13</v>
      </c>
      <c r="E21" s="2">
        <v>5.0</v>
      </c>
      <c r="F21" s="6">
        <f>IFERROR(__xludf.DUMMYFUNCTION("""COMPUTED_VALUE"""),1.23359740001615)</f>
        <v>1.2335974</v>
      </c>
    </row>
    <row r="22">
      <c r="A22" s="6" t="str">
        <f t="shared" si="1"/>
        <v>P1</v>
      </c>
      <c r="B22" s="2">
        <v>22.0</v>
      </c>
      <c r="C22" s="2" t="s">
        <v>122</v>
      </c>
      <c r="D22" s="5" t="s">
        <v>13</v>
      </c>
      <c r="E22" s="2">
        <v>5.0</v>
      </c>
      <c r="F22" s="6">
        <f>IFERROR(__xludf.DUMMYFUNCTION("""COMPUTED_VALUE"""),1.18608509993646)</f>
        <v>1.1860851</v>
      </c>
    </row>
    <row r="23">
      <c r="A23" s="6" t="str">
        <f t="shared" si="1"/>
        <v>P1</v>
      </c>
      <c r="B23" s="2">
        <v>24.0</v>
      </c>
      <c r="C23" s="2" t="s">
        <v>131</v>
      </c>
      <c r="D23" s="5" t="s">
        <v>13</v>
      </c>
      <c r="E23" s="2">
        <v>5.0</v>
      </c>
      <c r="F23" s="6">
        <f>IFERROR(__xludf.DUMMYFUNCTION("""COMPUTED_VALUE"""),1.21910510002635)</f>
        <v>1.2191051</v>
      </c>
    </row>
    <row r="24">
      <c r="A24" s="6" t="str">
        <f t="shared" si="1"/>
        <v>P1</v>
      </c>
      <c r="B24" s="2">
        <v>25.0</v>
      </c>
      <c r="C24" s="2" t="s">
        <v>136</v>
      </c>
      <c r="D24" s="5" t="s">
        <v>13</v>
      </c>
      <c r="E24" s="2">
        <v>10.0</v>
      </c>
      <c r="F24" s="6">
        <f>IFERROR(__xludf.DUMMYFUNCTION("""COMPUTED_VALUE"""),1.32312340009957)</f>
        <v>1.3231234</v>
      </c>
    </row>
    <row r="25">
      <c r="A25" s="6" t="str">
        <f t="shared" si="1"/>
        <v>P1</v>
      </c>
      <c r="B25" s="2">
        <v>26.0</v>
      </c>
      <c r="C25" s="2" t="s">
        <v>141</v>
      </c>
      <c r="D25" s="5" t="s">
        <v>13</v>
      </c>
      <c r="E25" s="2">
        <v>10.0</v>
      </c>
      <c r="F25" s="6">
        <f>IFERROR(__xludf.DUMMYFUNCTION("""COMPUTED_VALUE"""),1.34898159990552)</f>
        <v>1.3489816</v>
      </c>
    </row>
    <row r="26">
      <c r="A26" s="6" t="str">
        <f t="shared" si="1"/>
        <v>P1</v>
      </c>
      <c r="B26" s="2">
        <v>27.0</v>
      </c>
      <c r="C26" s="2" t="s">
        <v>146</v>
      </c>
      <c r="D26" s="5" t="s">
        <v>13</v>
      </c>
      <c r="E26" s="2">
        <v>10.0</v>
      </c>
      <c r="F26" s="6">
        <f>IFERROR(__xludf.DUMMYFUNCTION("""COMPUTED_VALUE"""),2.08958449994679)</f>
        <v>2.0895845</v>
      </c>
    </row>
    <row r="27">
      <c r="A27" s="6" t="str">
        <f t="shared" si="1"/>
        <v>P1</v>
      </c>
      <c r="B27" s="2">
        <v>28.0</v>
      </c>
      <c r="C27" s="2" t="s">
        <v>151</v>
      </c>
      <c r="D27" s="5" t="s">
        <v>13</v>
      </c>
      <c r="E27" s="2">
        <v>5.0</v>
      </c>
      <c r="F27" s="6">
        <f>IFERROR(__xludf.DUMMYFUNCTION("""COMPUTED_VALUE"""),1.48576799989677)</f>
        <v>1.485768</v>
      </c>
    </row>
    <row r="28">
      <c r="A28" s="6" t="str">
        <f t="shared" si="1"/>
        <v>P1</v>
      </c>
      <c r="B28" s="2">
        <v>29.0</v>
      </c>
      <c r="C28" s="2" t="s">
        <v>156</v>
      </c>
      <c r="D28" s="5" t="s">
        <v>13</v>
      </c>
      <c r="E28" s="2">
        <v>10.0</v>
      </c>
      <c r="F28" s="6">
        <f>IFERROR(__xludf.DUMMYFUNCTION("""COMPUTED_VALUE"""),1.03100319998338)</f>
        <v>1.0310032</v>
      </c>
    </row>
    <row r="29">
      <c r="A29" s="6" t="str">
        <f t="shared" si="1"/>
        <v>P1</v>
      </c>
      <c r="B29" s="2">
        <v>30.0</v>
      </c>
      <c r="C29" s="2" t="s">
        <v>161</v>
      </c>
      <c r="D29" s="5" t="s">
        <v>13</v>
      </c>
      <c r="E29" s="2">
        <v>10.0</v>
      </c>
      <c r="F29" s="6">
        <f>IFERROR(__xludf.DUMMYFUNCTION("""COMPUTED_VALUE"""),1.82498290005605)</f>
        <v>1.8249829</v>
      </c>
    </row>
    <row r="30">
      <c r="A30" s="6" t="str">
        <f t="shared" si="1"/>
        <v>P1</v>
      </c>
      <c r="B30" s="2">
        <v>31.0</v>
      </c>
      <c r="C30" s="2" t="s">
        <v>166</v>
      </c>
      <c r="D30" s="5" t="s">
        <v>13</v>
      </c>
      <c r="E30" s="2">
        <v>10.0</v>
      </c>
      <c r="F30" s="6">
        <f>IFERROR(__xludf.DUMMYFUNCTION("""COMPUTED_VALUE"""),2.03792369994334)</f>
        <v>2.0379237</v>
      </c>
    </row>
    <row r="31">
      <c r="A31" s="6" t="str">
        <f t="shared" si="1"/>
        <v>P1</v>
      </c>
      <c r="B31" s="2">
        <v>32.0</v>
      </c>
      <c r="C31" s="2" t="s">
        <v>171</v>
      </c>
      <c r="D31" s="5" t="s">
        <v>13</v>
      </c>
      <c r="E31" s="2">
        <v>10.0</v>
      </c>
      <c r="F31" s="6">
        <f>IFERROR(__xludf.DUMMYFUNCTION("""COMPUTED_VALUE"""),1.65697760006878)</f>
        <v>1.6569776</v>
      </c>
    </row>
    <row r="32">
      <c r="A32" s="6" t="str">
        <f t="shared" si="1"/>
        <v>P1</v>
      </c>
      <c r="B32" s="2">
        <v>33.0</v>
      </c>
      <c r="C32" s="2" t="s">
        <v>176</v>
      </c>
      <c r="D32" s="5" t="s">
        <v>13</v>
      </c>
      <c r="E32" s="2">
        <v>5.0</v>
      </c>
      <c r="F32" s="6">
        <f>IFERROR(__xludf.DUMMYFUNCTION("""COMPUTED_VALUE"""),1.3176246000221)</f>
        <v>1.3176246</v>
      </c>
    </row>
    <row r="33">
      <c r="A33" s="6" t="str">
        <f t="shared" si="1"/>
        <v>P1</v>
      </c>
      <c r="B33" s="2">
        <v>34.0</v>
      </c>
      <c r="C33" s="2" t="s">
        <v>181</v>
      </c>
      <c r="D33" s="5" t="s">
        <v>13</v>
      </c>
      <c r="E33" s="2">
        <v>10.0</v>
      </c>
      <c r="F33" s="6">
        <f>IFERROR(__xludf.DUMMYFUNCTION("""COMPUTED_VALUE"""),1.42564130004029)</f>
        <v>1.4256413</v>
      </c>
    </row>
    <row r="34">
      <c r="A34" s="6" t="str">
        <f t="shared" si="1"/>
        <v>P1</v>
      </c>
      <c r="B34" s="2">
        <v>35.0</v>
      </c>
      <c r="C34" s="2" t="s">
        <v>186</v>
      </c>
      <c r="D34" s="5" t="s">
        <v>13</v>
      </c>
      <c r="E34" s="2">
        <v>5.0</v>
      </c>
      <c r="F34" s="6">
        <f>IFERROR(__xludf.DUMMYFUNCTION("""COMPUTED_VALUE"""),1.5485443000216)</f>
        <v>1.5485443</v>
      </c>
    </row>
    <row r="35">
      <c r="A35" s="6" t="str">
        <f t="shared" si="1"/>
        <v>P1</v>
      </c>
      <c r="B35" s="2">
        <v>36.0</v>
      </c>
      <c r="C35" s="2" t="s">
        <v>191</v>
      </c>
      <c r="D35" s="5" t="s">
        <v>13</v>
      </c>
      <c r="E35" s="2">
        <v>10.0</v>
      </c>
      <c r="F35" s="6">
        <f>IFERROR(__xludf.DUMMYFUNCTION("""COMPUTED_VALUE"""),1.42171570006757)</f>
        <v>1.4217157</v>
      </c>
    </row>
    <row r="36">
      <c r="A36" s="6" t="str">
        <f t="shared" si="1"/>
        <v>P1</v>
      </c>
      <c r="B36" s="2">
        <v>37.0</v>
      </c>
      <c r="C36" s="2" t="s">
        <v>196</v>
      </c>
      <c r="D36" s="5" t="s">
        <v>13</v>
      </c>
      <c r="E36" s="2">
        <v>5.0</v>
      </c>
      <c r="F36" s="6">
        <f>IFERROR(__xludf.DUMMYFUNCTION("""COMPUTED_VALUE"""),1.2777973000193)</f>
        <v>1.2777973</v>
      </c>
    </row>
    <row r="37">
      <c r="A37" s="6" t="str">
        <f t="shared" si="1"/>
        <v>P1</v>
      </c>
      <c r="B37" s="2">
        <v>38.0</v>
      </c>
      <c r="C37" s="2" t="s">
        <v>201</v>
      </c>
      <c r="D37" s="5" t="s">
        <v>13</v>
      </c>
      <c r="E37" s="2">
        <v>10.0</v>
      </c>
      <c r="F37" s="6">
        <f>IFERROR(__xludf.DUMMYFUNCTION("""COMPUTED_VALUE"""),1.62359339999966)</f>
        <v>1.6235934</v>
      </c>
    </row>
    <row r="38">
      <c r="A38" s="6" t="str">
        <f t="shared" si="1"/>
        <v>P1</v>
      </c>
      <c r="B38" s="2">
        <v>39.0</v>
      </c>
      <c r="C38" s="2" t="s">
        <v>206</v>
      </c>
      <c r="D38" s="5" t="s">
        <v>13</v>
      </c>
      <c r="E38" s="2">
        <v>10.0</v>
      </c>
      <c r="F38" s="6">
        <f>IFERROR(__xludf.DUMMYFUNCTION("""COMPUTED_VALUE"""),1.04879779997281)</f>
        <v>1.0487978</v>
      </c>
    </row>
    <row r="39">
      <c r="A39" s="6" t="str">
        <f t="shared" si="1"/>
        <v>P1</v>
      </c>
      <c r="B39" s="2">
        <v>40.0</v>
      </c>
      <c r="C39" s="2" t="s">
        <v>211</v>
      </c>
      <c r="D39" s="5" t="s">
        <v>13</v>
      </c>
      <c r="E39" s="2">
        <v>10.0</v>
      </c>
      <c r="F39" s="6">
        <f>IFERROR(__xludf.DUMMYFUNCTION("""COMPUTED_VALUE"""),1.38697980006691)</f>
        <v>1.3869798</v>
      </c>
    </row>
    <row r="40">
      <c r="A40" s="6" t="str">
        <f t="shared" si="1"/>
        <v>P1</v>
      </c>
      <c r="B40" s="2">
        <v>41.0</v>
      </c>
      <c r="C40" s="2" t="s">
        <v>216</v>
      </c>
      <c r="D40" s="5" t="s">
        <v>13</v>
      </c>
      <c r="E40" s="2">
        <v>5.0</v>
      </c>
      <c r="F40" s="6">
        <f>IFERROR(__xludf.DUMMYFUNCTION("""COMPUTED_VALUE"""),2.10662660002708)</f>
        <v>2.1066266</v>
      </c>
    </row>
    <row r="41">
      <c r="A41" s="6" t="str">
        <f t="shared" si="1"/>
        <v>P1</v>
      </c>
      <c r="B41" s="2">
        <v>42.0</v>
      </c>
      <c r="C41" s="2" t="s">
        <v>221</v>
      </c>
      <c r="D41" s="5" t="s">
        <v>13</v>
      </c>
      <c r="E41" s="2">
        <v>10.0</v>
      </c>
      <c r="F41" s="6">
        <f>IFERROR(__xludf.DUMMYFUNCTION("""COMPUTED_VALUE"""),1.42106930003501)</f>
        <v>1.4210693</v>
      </c>
    </row>
    <row r="42">
      <c r="A42" s="6" t="str">
        <f t="shared" si="1"/>
        <v>P1</v>
      </c>
      <c r="B42" s="2">
        <v>43.0</v>
      </c>
      <c r="C42" s="2" t="s">
        <v>226</v>
      </c>
      <c r="D42" s="5" t="s">
        <v>13</v>
      </c>
      <c r="E42" s="2">
        <v>10.0</v>
      </c>
      <c r="F42" s="6">
        <f>IFERROR(__xludf.DUMMYFUNCTION("""COMPUTED_VALUE"""),1.46740780002437)</f>
        <v>1.4674078</v>
      </c>
    </row>
    <row r="43">
      <c r="A43" s="6" t="str">
        <f t="shared" si="1"/>
        <v>P1</v>
      </c>
      <c r="B43" s="2">
        <v>44.0</v>
      </c>
      <c r="C43" s="2" t="s">
        <v>231</v>
      </c>
      <c r="D43" s="5" t="s">
        <v>13</v>
      </c>
      <c r="E43" s="2">
        <v>10.0</v>
      </c>
      <c r="F43" s="6">
        <f>IFERROR(__xludf.DUMMYFUNCTION("""COMPUTED_VALUE"""),1.54996520001441)</f>
        <v>1.5499652</v>
      </c>
    </row>
    <row r="44">
      <c r="A44" s="6" t="str">
        <f t="shared" si="1"/>
        <v>P1</v>
      </c>
      <c r="B44" s="2">
        <v>45.0</v>
      </c>
      <c r="C44" s="2" t="s">
        <v>236</v>
      </c>
      <c r="D44" s="5" t="s">
        <v>13</v>
      </c>
      <c r="E44" s="2">
        <v>10.0</v>
      </c>
      <c r="F44" s="6">
        <f>IFERROR(__xludf.DUMMYFUNCTION("""COMPUTED_VALUE"""),1.44247780006844)</f>
        <v>1.4424778</v>
      </c>
    </row>
    <row r="45">
      <c r="A45" s="6" t="str">
        <f t="shared" si="1"/>
        <v>P1</v>
      </c>
      <c r="B45" s="2">
        <v>46.0</v>
      </c>
      <c r="C45" s="2" t="s">
        <v>241</v>
      </c>
      <c r="D45" s="5" t="s">
        <v>13</v>
      </c>
      <c r="E45" s="2">
        <v>5.0</v>
      </c>
      <c r="F45" s="6">
        <f>IFERROR(__xludf.DUMMYFUNCTION("""COMPUTED_VALUE"""),1.2483602000866)</f>
        <v>1.2483602</v>
      </c>
    </row>
    <row r="46">
      <c r="A46" s="6" t="str">
        <f t="shared" si="1"/>
        <v>P1</v>
      </c>
      <c r="B46" s="2">
        <v>47.0</v>
      </c>
      <c r="C46" s="2" t="s">
        <v>246</v>
      </c>
      <c r="D46" s="5" t="s">
        <v>13</v>
      </c>
      <c r="E46" s="2">
        <v>5.0</v>
      </c>
      <c r="F46" s="6">
        <f>IFERROR(__xludf.DUMMYFUNCTION("""COMPUTED_VALUE"""),1.58098850003443)</f>
        <v>1.5809885</v>
      </c>
    </row>
    <row r="47">
      <c r="A47" s="6" t="str">
        <f t="shared" si="1"/>
        <v>P1</v>
      </c>
      <c r="B47" s="2">
        <v>48.0</v>
      </c>
      <c r="C47" s="2" t="s">
        <v>251</v>
      </c>
      <c r="D47" s="5" t="s">
        <v>13</v>
      </c>
      <c r="E47" s="2">
        <v>5.0</v>
      </c>
      <c r="F47" s="6">
        <f>IFERROR(__xludf.DUMMYFUNCTION("""COMPUTED_VALUE"""),1.69838509999681)</f>
        <v>1.6983851</v>
      </c>
    </row>
    <row r="48">
      <c r="A48" s="6" t="str">
        <f t="shared" si="1"/>
        <v>P1</v>
      </c>
      <c r="B48" s="2">
        <v>49.0</v>
      </c>
      <c r="C48" s="2" t="s">
        <v>256</v>
      </c>
      <c r="D48" s="5" t="s">
        <v>13</v>
      </c>
      <c r="E48" s="2">
        <v>10.0</v>
      </c>
      <c r="F48" s="6">
        <f>IFERROR(__xludf.DUMMYFUNCTION("""COMPUTED_VALUE"""),1.40543929999694)</f>
        <v>1.4054393</v>
      </c>
    </row>
    <row r="49">
      <c r="A49" s="6" t="str">
        <f t="shared" si="1"/>
        <v>P1</v>
      </c>
      <c r="B49" s="2">
        <v>50.0</v>
      </c>
      <c r="C49" s="2" t="s">
        <v>261</v>
      </c>
      <c r="D49" s="5" t="s">
        <v>13</v>
      </c>
      <c r="E49" s="2">
        <v>10.0</v>
      </c>
      <c r="F49" s="6">
        <f>IFERROR(__xludf.DUMMYFUNCTION("""COMPUTED_VALUE"""),1.60147100000176)</f>
        <v>1.601471</v>
      </c>
    </row>
    <row r="50">
      <c r="A50" s="6" t="str">
        <f t="shared" si="1"/>
        <v>P1</v>
      </c>
      <c r="B50" s="2">
        <v>51.0</v>
      </c>
      <c r="C50" s="2" t="s">
        <v>266</v>
      </c>
      <c r="D50" s="5" t="s">
        <v>13</v>
      </c>
      <c r="E50" s="2">
        <v>10.0</v>
      </c>
      <c r="F50" s="6">
        <f>IFERROR(__xludf.DUMMYFUNCTION("""COMPUTED_VALUE"""),1.33609429991338)</f>
        <v>1.3360943</v>
      </c>
    </row>
    <row r="51">
      <c r="A51" s="6" t="str">
        <f t="shared" si="1"/>
        <v>P1</v>
      </c>
      <c r="B51" s="2">
        <v>52.0</v>
      </c>
      <c r="C51" s="2" t="s">
        <v>271</v>
      </c>
      <c r="D51" s="5" t="s">
        <v>13</v>
      </c>
      <c r="E51" s="2">
        <v>5.0</v>
      </c>
      <c r="F51" s="6">
        <f>IFERROR(__xludf.DUMMYFUNCTION("""COMPUTED_VALUE"""),1.60099149995949)</f>
        <v>1.6009915</v>
      </c>
    </row>
    <row r="52">
      <c r="A52" s="6" t="str">
        <f t="shared" si="1"/>
        <v>P1</v>
      </c>
      <c r="B52" s="2">
        <v>53.0</v>
      </c>
      <c r="C52" s="2" t="s">
        <v>276</v>
      </c>
      <c r="D52" s="5" t="s">
        <v>13</v>
      </c>
      <c r="E52" s="2">
        <v>5.0</v>
      </c>
      <c r="F52" s="6">
        <f>IFERROR(__xludf.DUMMYFUNCTION("""COMPUTED_VALUE"""),1.21674549998715)</f>
        <v>1.2167455</v>
      </c>
    </row>
    <row r="53">
      <c r="A53" s="6" t="str">
        <f t="shared" si="1"/>
        <v>P1</v>
      </c>
      <c r="B53" s="2">
        <v>54.0</v>
      </c>
      <c r="C53" s="2" t="s">
        <v>281</v>
      </c>
      <c r="D53" s="5" t="s">
        <v>13</v>
      </c>
      <c r="E53" s="2">
        <v>5.0</v>
      </c>
      <c r="F53" s="6">
        <f>IFERROR(__xludf.DUMMYFUNCTION("""COMPUTED_VALUE"""),1.09936360002029)</f>
        <v>1.0993636</v>
      </c>
    </row>
    <row r="54">
      <c r="A54" s="6" t="str">
        <f t="shared" si="1"/>
        <v>P1</v>
      </c>
      <c r="B54" s="2">
        <v>55.0</v>
      </c>
      <c r="C54" s="2" t="s">
        <v>286</v>
      </c>
      <c r="D54" s="5" t="s">
        <v>13</v>
      </c>
      <c r="E54" s="2">
        <v>10.0</v>
      </c>
      <c r="F54" s="6">
        <f>IFERROR(__xludf.DUMMYFUNCTION("""COMPUTED_VALUE"""),1.78648490004707)</f>
        <v>1.7864849</v>
      </c>
    </row>
    <row r="55">
      <c r="A55" s="6" t="str">
        <f t="shared" si="1"/>
        <v>P1</v>
      </c>
      <c r="B55" s="2">
        <v>56.0</v>
      </c>
      <c r="C55" s="2" t="s">
        <v>291</v>
      </c>
      <c r="D55" s="5" t="s">
        <v>13</v>
      </c>
      <c r="E55" s="2">
        <v>5.0</v>
      </c>
      <c r="F55" s="6">
        <f>IFERROR(__xludf.DUMMYFUNCTION("""COMPUTED_VALUE"""),1.11704490007832)</f>
        <v>1.1170449</v>
      </c>
    </row>
    <row r="56">
      <c r="A56" s="6" t="str">
        <f t="shared" si="1"/>
        <v>P1</v>
      </c>
      <c r="B56" s="2">
        <v>57.0</v>
      </c>
      <c r="C56" s="2" t="s">
        <v>296</v>
      </c>
      <c r="D56" s="5" t="s">
        <v>13</v>
      </c>
      <c r="E56" s="2">
        <v>5.0</v>
      </c>
      <c r="F56" s="6">
        <f>IFERROR(__xludf.DUMMYFUNCTION("""COMPUTED_VALUE"""),1.43420100002549)</f>
        <v>1.434201</v>
      </c>
    </row>
    <row r="57">
      <c r="A57" s="6" t="str">
        <f t="shared" si="1"/>
        <v>P1</v>
      </c>
      <c r="B57" s="2">
        <v>58.0</v>
      </c>
      <c r="C57" s="2" t="s">
        <v>301</v>
      </c>
      <c r="D57" s="5" t="s">
        <v>13</v>
      </c>
      <c r="E57" s="2">
        <v>5.0</v>
      </c>
      <c r="F57" s="6">
        <f>IFERROR(__xludf.DUMMYFUNCTION("""COMPUTED_VALUE"""),1.16679419996216)</f>
        <v>1.1667942</v>
      </c>
    </row>
    <row r="58">
      <c r="A58" s="6" t="str">
        <f t="shared" si="1"/>
        <v>P1</v>
      </c>
      <c r="B58" s="2">
        <v>59.0</v>
      </c>
      <c r="C58" s="2" t="s">
        <v>306</v>
      </c>
      <c r="D58" s="5" t="s">
        <v>13</v>
      </c>
      <c r="E58" s="2">
        <v>10.0</v>
      </c>
      <c r="F58" s="6">
        <f>IFERROR(__xludf.DUMMYFUNCTION("""COMPUTED_VALUE"""),1.45096199994441)</f>
        <v>1.450962</v>
      </c>
    </row>
    <row r="59">
      <c r="A59" s="6" t="str">
        <f t="shared" si="1"/>
        <v>P1</v>
      </c>
      <c r="B59" s="2">
        <v>60.0</v>
      </c>
      <c r="C59" s="2" t="s">
        <v>311</v>
      </c>
      <c r="D59" s="5" t="s">
        <v>13</v>
      </c>
      <c r="E59" s="2">
        <v>5.0</v>
      </c>
      <c r="F59" s="6">
        <f>IFERROR(__xludf.DUMMYFUNCTION("""COMPUTED_VALUE"""),1.47226330009289)</f>
        <v>1.4722633</v>
      </c>
    </row>
    <row r="60">
      <c r="A60" s="6" t="str">
        <f t="shared" si="1"/>
        <v>P1</v>
      </c>
      <c r="B60" s="2">
        <v>61.0</v>
      </c>
      <c r="C60" s="2" t="s">
        <v>316</v>
      </c>
      <c r="D60" s="5" t="s">
        <v>13</v>
      </c>
      <c r="E60" s="2">
        <v>5.0</v>
      </c>
      <c r="F60" s="6">
        <f>IFERROR(__xludf.DUMMYFUNCTION("""COMPUTED_VALUE"""),1.3117607999593)</f>
        <v>1.3117608</v>
      </c>
    </row>
    <row r="61">
      <c r="A61" s="6" t="str">
        <f t="shared" si="1"/>
        <v>P1</v>
      </c>
      <c r="B61" s="2">
        <v>62.0</v>
      </c>
      <c r="C61" s="2" t="s">
        <v>321</v>
      </c>
      <c r="D61" s="5" t="s">
        <v>13</v>
      </c>
      <c r="E61" s="2">
        <v>5.0</v>
      </c>
      <c r="F61" s="6">
        <f>IFERROR(__xludf.DUMMYFUNCTION("""COMPUTED_VALUE"""),1.85035339999012)</f>
        <v>1.8503534</v>
      </c>
    </row>
    <row r="62">
      <c r="A62" s="6" t="str">
        <f t="shared" si="1"/>
        <v>P1</v>
      </c>
      <c r="B62" s="2">
        <v>63.0</v>
      </c>
      <c r="C62" s="2" t="s">
        <v>326</v>
      </c>
      <c r="D62" s="5" t="s">
        <v>13</v>
      </c>
      <c r="E62" s="2">
        <v>5.0</v>
      </c>
      <c r="F62" s="6">
        <f>IFERROR(__xludf.DUMMYFUNCTION("""COMPUTED_VALUE"""),1.3330219000345)</f>
        <v>1.3330219</v>
      </c>
    </row>
    <row r="63">
      <c r="A63" s="6" t="str">
        <f t="shared" si="1"/>
        <v>P1</v>
      </c>
      <c r="B63" s="2">
        <v>64.0</v>
      </c>
      <c r="C63" s="2" t="s">
        <v>331</v>
      </c>
      <c r="D63" s="5" t="s">
        <v>13</v>
      </c>
      <c r="E63" s="2">
        <v>10.0</v>
      </c>
      <c r="F63" s="6">
        <f>IFERROR(__xludf.DUMMYFUNCTION("""COMPUTED_VALUE"""),1.13568830001167)</f>
        <v>1.1356883</v>
      </c>
    </row>
    <row r="64">
      <c r="A64" s="6" t="str">
        <f t="shared" si="1"/>
        <v>P1</v>
      </c>
      <c r="B64" s="2">
        <v>65.0</v>
      </c>
      <c r="C64" s="2" t="s">
        <v>336</v>
      </c>
      <c r="D64" s="5" t="s">
        <v>13</v>
      </c>
      <c r="E64" s="2">
        <v>5.0</v>
      </c>
      <c r="F64" s="6">
        <f>IFERROR(__xludf.DUMMYFUNCTION("""COMPUTED_VALUE"""),1.1152931000106)</f>
        <v>1.1152931</v>
      </c>
    </row>
    <row r="65">
      <c r="A65" s="6" t="str">
        <f t="shared" si="1"/>
        <v>P1</v>
      </c>
      <c r="B65" s="2">
        <v>66.0</v>
      </c>
      <c r="C65" s="2" t="s">
        <v>341</v>
      </c>
      <c r="D65" s="5" t="s">
        <v>13</v>
      </c>
      <c r="E65" s="2">
        <v>5.0</v>
      </c>
      <c r="F65" s="6">
        <f>IFERROR(__xludf.DUMMYFUNCTION("""COMPUTED_VALUE"""),1.13075480004772)</f>
        <v>1.1307548</v>
      </c>
    </row>
    <row r="66">
      <c r="A66" s="6" t="str">
        <f t="shared" si="1"/>
        <v>P1</v>
      </c>
      <c r="B66" s="2">
        <v>67.0</v>
      </c>
      <c r="C66" s="2" t="s">
        <v>346</v>
      </c>
      <c r="D66" s="5" t="s">
        <v>13</v>
      </c>
      <c r="E66" s="2">
        <v>10.0</v>
      </c>
      <c r="F66" s="6">
        <f>IFERROR(__xludf.DUMMYFUNCTION("""COMPUTED_VALUE"""),2.6552975999657)</f>
        <v>2.6552976</v>
      </c>
    </row>
    <row r="67">
      <c r="A67" s="6" t="str">
        <f t="shared" si="1"/>
        <v>P1</v>
      </c>
      <c r="B67" s="2">
        <v>68.0</v>
      </c>
      <c r="C67" s="2" t="s">
        <v>351</v>
      </c>
      <c r="D67" s="5" t="s">
        <v>13</v>
      </c>
      <c r="E67" s="2">
        <v>5.0</v>
      </c>
      <c r="F67" s="6">
        <f>IFERROR(__xludf.DUMMYFUNCTION("""COMPUTED_VALUE"""),1.35174860002007)</f>
        <v>1.3517486</v>
      </c>
    </row>
    <row r="68">
      <c r="A68" s="6" t="str">
        <f t="shared" si="1"/>
        <v>P1</v>
      </c>
      <c r="B68" s="2">
        <v>69.0</v>
      </c>
      <c r="C68" s="2" t="s">
        <v>356</v>
      </c>
      <c r="D68" s="5" t="s">
        <v>13</v>
      </c>
      <c r="E68" s="2">
        <v>5.0</v>
      </c>
      <c r="F68" s="6">
        <f>IFERROR(__xludf.DUMMYFUNCTION("""COMPUTED_VALUE"""),1.21479500003624)</f>
        <v>1.214795</v>
      </c>
    </row>
    <row r="69">
      <c r="A69" s="6" t="str">
        <f t="shared" si="1"/>
        <v>P1</v>
      </c>
      <c r="B69" s="2">
        <v>70.0</v>
      </c>
      <c r="C69" s="2" t="s">
        <v>361</v>
      </c>
      <c r="D69" s="5" t="s">
        <v>13</v>
      </c>
      <c r="E69" s="2">
        <v>5.0</v>
      </c>
      <c r="F69" s="6">
        <f>IFERROR(__xludf.DUMMYFUNCTION("""COMPUTED_VALUE"""),1.31451120006386)</f>
        <v>1.3145112</v>
      </c>
    </row>
    <row r="70">
      <c r="A70" s="6" t="str">
        <f t="shared" si="1"/>
        <v>P1</v>
      </c>
      <c r="B70" s="2">
        <v>71.0</v>
      </c>
      <c r="C70" s="2" t="s">
        <v>366</v>
      </c>
      <c r="D70" s="5" t="s">
        <v>13</v>
      </c>
      <c r="E70" s="2">
        <v>5.0</v>
      </c>
      <c r="F70" s="6">
        <f>IFERROR(__xludf.DUMMYFUNCTION("""COMPUTED_VALUE"""),1.30163610004819)</f>
        <v>1.3016361</v>
      </c>
    </row>
    <row r="71">
      <c r="A71" s="6" t="str">
        <f t="shared" si="1"/>
        <v>P1</v>
      </c>
      <c r="B71" s="2">
        <v>72.0</v>
      </c>
      <c r="C71" s="2" t="s">
        <v>371</v>
      </c>
      <c r="D71" s="5" t="s">
        <v>13</v>
      </c>
      <c r="E71" s="2">
        <v>10.0</v>
      </c>
      <c r="F71" s="6">
        <f>IFERROR(__xludf.DUMMYFUNCTION("""COMPUTED_VALUE"""),1.41892870003357)</f>
        <v>1.4189287</v>
      </c>
    </row>
    <row r="72">
      <c r="A72" s="6" t="str">
        <f t="shared" si="1"/>
        <v>P1</v>
      </c>
      <c r="B72" s="2">
        <v>73.0</v>
      </c>
      <c r="C72" s="2" t="s">
        <v>376</v>
      </c>
      <c r="D72" s="5" t="s">
        <v>13</v>
      </c>
      <c r="E72" s="2">
        <v>10.0</v>
      </c>
      <c r="F72" s="6">
        <f>IFERROR(__xludf.DUMMYFUNCTION("""COMPUTED_VALUE"""),1.13744900003075)</f>
        <v>1.137449</v>
      </c>
    </row>
    <row r="73">
      <c r="A73" s="6" t="str">
        <f t="shared" si="1"/>
        <v>P1</v>
      </c>
      <c r="B73" s="2">
        <v>74.0</v>
      </c>
      <c r="C73" s="2" t="s">
        <v>380</v>
      </c>
      <c r="D73" s="5" t="s">
        <v>13</v>
      </c>
      <c r="E73" s="2">
        <v>10.0</v>
      </c>
      <c r="F73" s="6">
        <f>IFERROR(__xludf.DUMMYFUNCTION("""COMPUTED_VALUE"""),2.17133370006922)</f>
        <v>2.1713337</v>
      </c>
    </row>
    <row r="74">
      <c r="A74" s="6" t="str">
        <f t="shared" si="1"/>
        <v>P1</v>
      </c>
      <c r="B74" s="2">
        <v>75.0</v>
      </c>
      <c r="C74" s="2" t="s">
        <v>385</v>
      </c>
      <c r="D74" s="5" t="s">
        <v>13</v>
      </c>
      <c r="E74" s="2">
        <v>5.0</v>
      </c>
      <c r="F74" s="6">
        <f>IFERROR(__xludf.DUMMYFUNCTION("""COMPUTED_VALUE"""),2.07888590008951)</f>
        <v>2.0788859</v>
      </c>
    </row>
    <row r="75">
      <c r="A75" s="6" t="str">
        <f t="shared" si="1"/>
        <v>P1</v>
      </c>
      <c r="B75" s="2">
        <v>76.0</v>
      </c>
      <c r="C75" s="2" t="s">
        <v>390</v>
      </c>
      <c r="D75" s="5" t="s">
        <v>13</v>
      </c>
      <c r="E75" s="2">
        <v>5.0</v>
      </c>
      <c r="F75" s="6">
        <f>IFERROR(__xludf.DUMMYFUNCTION("""COMPUTED_VALUE"""),1.05148589995224)</f>
        <v>1.0514859</v>
      </c>
    </row>
    <row r="76">
      <c r="A76" s="6" t="str">
        <f t="shared" si="1"/>
        <v>P1</v>
      </c>
      <c r="B76" s="2">
        <v>77.0</v>
      </c>
      <c r="C76" s="2" t="s">
        <v>395</v>
      </c>
      <c r="D76" s="5" t="s">
        <v>13</v>
      </c>
      <c r="E76" s="2">
        <v>10.0</v>
      </c>
      <c r="F76" s="6">
        <f>IFERROR(__xludf.DUMMYFUNCTION("""COMPUTED_VALUE"""),3.30298929999116)</f>
        <v>3.3029893</v>
      </c>
    </row>
    <row r="77">
      <c r="A77" s="6" t="str">
        <f t="shared" si="1"/>
        <v>P1</v>
      </c>
      <c r="B77" s="2">
        <v>78.0</v>
      </c>
      <c r="C77" s="2" t="s">
        <v>400</v>
      </c>
      <c r="D77" s="5" t="s">
        <v>13</v>
      </c>
      <c r="E77" s="2">
        <v>10.0</v>
      </c>
      <c r="F77" s="6">
        <f>IFERROR(__xludf.DUMMYFUNCTION("""COMPUTED_VALUE"""),1.42177010001614)</f>
        <v>1.4217701</v>
      </c>
    </row>
    <row r="78">
      <c r="A78" s="6" t="str">
        <f t="shared" si="1"/>
        <v>P1</v>
      </c>
      <c r="B78" s="2">
        <v>79.0</v>
      </c>
      <c r="C78" s="2" t="s">
        <v>405</v>
      </c>
      <c r="D78" s="5" t="s">
        <v>13</v>
      </c>
      <c r="E78" s="2">
        <v>5.0</v>
      </c>
      <c r="F78" s="6">
        <f>IFERROR(__xludf.DUMMYFUNCTION("""COMPUTED_VALUE"""),0.966820299974642)</f>
        <v>0.9668203</v>
      </c>
    </row>
    <row r="79">
      <c r="A79" s="6" t="str">
        <f t="shared" si="1"/>
        <v>P1</v>
      </c>
      <c r="B79" s="2">
        <v>80.0</v>
      </c>
      <c r="C79" s="2" t="s">
        <v>410</v>
      </c>
      <c r="D79" s="5" t="s">
        <v>13</v>
      </c>
      <c r="E79" s="2">
        <v>10.0</v>
      </c>
      <c r="F79" s="6">
        <f>IFERROR(__xludf.DUMMYFUNCTION("""COMPUTED_VALUE"""),1.25348860002122)</f>
        <v>1.2534886</v>
      </c>
    </row>
    <row r="80">
      <c r="A80" s="6" t="str">
        <f t="shared" si="1"/>
        <v>P1</v>
      </c>
      <c r="B80" s="2">
        <v>81.0</v>
      </c>
      <c r="C80" s="2" t="s">
        <v>415</v>
      </c>
      <c r="D80" s="5" t="s">
        <v>13</v>
      </c>
      <c r="E80" s="2">
        <v>5.0</v>
      </c>
      <c r="F80" s="6">
        <f>IFERROR(__xludf.DUMMYFUNCTION("""COMPUTED_VALUE"""),1.06598890002351)</f>
        <v>1.0659889</v>
      </c>
    </row>
    <row r="81">
      <c r="A81" s="6" t="str">
        <f t="shared" si="1"/>
        <v>P1</v>
      </c>
      <c r="B81" s="2">
        <v>82.0</v>
      </c>
      <c r="C81" s="2" t="s">
        <v>420</v>
      </c>
      <c r="D81" s="5" t="s">
        <v>13</v>
      </c>
      <c r="E81" s="2">
        <v>10.0</v>
      </c>
      <c r="F81" s="6">
        <f>IFERROR(__xludf.DUMMYFUNCTION("""COMPUTED_VALUE"""),1.28843760001473)</f>
        <v>1.2884376</v>
      </c>
    </row>
    <row r="82">
      <c r="A82" s="6" t="str">
        <f t="shared" si="1"/>
        <v>P1</v>
      </c>
      <c r="B82" s="2">
        <v>83.0</v>
      </c>
      <c r="C82" s="2" t="s">
        <v>424</v>
      </c>
      <c r="D82" s="5" t="s">
        <v>13</v>
      </c>
      <c r="E82" s="2">
        <v>10.0</v>
      </c>
      <c r="F82" s="6">
        <f>IFERROR(__xludf.DUMMYFUNCTION("""COMPUTED_VALUE"""),1.72039959998801)</f>
        <v>1.7203996</v>
      </c>
    </row>
    <row r="83">
      <c r="A83" s="6" t="str">
        <f t="shared" si="1"/>
        <v>P1</v>
      </c>
      <c r="B83" s="2">
        <v>84.0</v>
      </c>
      <c r="C83" s="2" t="s">
        <v>429</v>
      </c>
      <c r="D83" s="5" t="s">
        <v>13</v>
      </c>
      <c r="E83" s="2">
        <v>10.0</v>
      </c>
      <c r="F83" s="6">
        <f>IFERROR(__xludf.DUMMYFUNCTION("""COMPUTED_VALUE"""),1.27248609997332)</f>
        <v>1.2724861</v>
      </c>
    </row>
    <row r="84">
      <c r="A84" s="6" t="str">
        <f t="shared" si="1"/>
        <v>P1</v>
      </c>
      <c r="B84" s="2">
        <v>85.0</v>
      </c>
      <c r="C84" s="2" t="s">
        <v>434</v>
      </c>
      <c r="D84" s="5" t="s">
        <v>13</v>
      </c>
      <c r="E84" s="2">
        <v>10.0</v>
      </c>
      <c r="F84" s="6">
        <f>IFERROR(__xludf.DUMMYFUNCTION("""COMPUTED_VALUE"""),1.12037290004082)</f>
        <v>1.1203729</v>
      </c>
    </row>
    <row r="85">
      <c r="A85" s="6" t="str">
        <f t="shared" si="1"/>
        <v>P1</v>
      </c>
      <c r="B85" s="2">
        <v>86.0</v>
      </c>
      <c r="C85" s="2" t="s">
        <v>439</v>
      </c>
      <c r="D85" s="5" t="s">
        <v>13</v>
      </c>
      <c r="E85" s="2">
        <v>5.0</v>
      </c>
      <c r="F85" s="6">
        <f>IFERROR(__xludf.DUMMYFUNCTION("""COMPUTED_VALUE"""),1.75184380006976)</f>
        <v>1.7518438</v>
      </c>
    </row>
    <row r="86">
      <c r="A86" s="6" t="str">
        <f t="shared" si="1"/>
        <v>P1</v>
      </c>
      <c r="B86" s="2">
        <v>87.0</v>
      </c>
      <c r="C86" s="2" t="s">
        <v>444</v>
      </c>
      <c r="D86" s="5" t="s">
        <v>13</v>
      </c>
      <c r="E86" s="2">
        <v>5.0</v>
      </c>
      <c r="F86" s="6">
        <f>IFERROR(__xludf.DUMMYFUNCTION("""COMPUTED_VALUE"""),1.60367520002182)</f>
        <v>1.6036752</v>
      </c>
    </row>
    <row r="87">
      <c r="A87" s="6" t="str">
        <f t="shared" si="1"/>
        <v>P1</v>
      </c>
      <c r="B87" s="2">
        <v>88.0</v>
      </c>
      <c r="C87" s="2" t="s">
        <v>449</v>
      </c>
      <c r="D87" s="5" t="s">
        <v>13</v>
      </c>
      <c r="E87" s="2">
        <v>10.0</v>
      </c>
      <c r="F87" s="6">
        <f>IFERROR(__xludf.DUMMYFUNCTION("""COMPUTED_VALUE"""),1.40430309996008)</f>
        <v>1.4043031</v>
      </c>
    </row>
    <row r="88">
      <c r="A88" s="6" t="str">
        <f t="shared" si="1"/>
        <v>P1</v>
      </c>
      <c r="B88" s="2">
        <v>89.0</v>
      </c>
      <c r="C88" s="2" t="s">
        <v>454</v>
      </c>
      <c r="D88" s="5" t="s">
        <v>13</v>
      </c>
      <c r="E88" s="2">
        <v>10.0</v>
      </c>
      <c r="F88" s="6">
        <f>IFERROR(__xludf.DUMMYFUNCTION("""COMPUTED_VALUE"""),1.60410850006155)</f>
        <v>1.6041085</v>
      </c>
    </row>
    <row r="89">
      <c r="A89" s="6" t="str">
        <f t="shared" si="1"/>
        <v>P1</v>
      </c>
      <c r="B89" s="2">
        <v>90.0</v>
      </c>
      <c r="C89" s="2" t="s">
        <v>459</v>
      </c>
      <c r="D89" s="5" t="s">
        <v>13</v>
      </c>
      <c r="E89" s="2">
        <v>10.0</v>
      </c>
      <c r="F89" s="6">
        <f>IFERROR(__xludf.DUMMYFUNCTION("""COMPUTED_VALUE"""),1.41852310008835)</f>
        <v>1.4185231</v>
      </c>
    </row>
    <row r="90">
      <c r="A90" s="6" t="str">
        <f t="shared" si="1"/>
        <v>P1</v>
      </c>
      <c r="B90" s="2">
        <v>91.0</v>
      </c>
      <c r="C90" s="2" t="s">
        <v>464</v>
      </c>
      <c r="D90" s="5" t="s">
        <v>13</v>
      </c>
      <c r="E90" s="2">
        <v>5.0</v>
      </c>
      <c r="F90" s="6">
        <f>IFERROR(__xludf.DUMMYFUNCTION("""COMPUTED_VALUE"""),1.31522429990582)</f>
        <v>1.3152243</v>
      </c>
    </row>
    <row r="91">
      <c r="A91" s="6" t="str">
        <f t="shared" si="1"/>
        <v>P1</v>
      </c>
      <c r="B91" s="2">
        <v>92.0</v>
      </c>
      <c r="C91" s="2" t="s">
        <v>469</v>
      </c>
      <c r="D91" s="5" t="s">
        <v>13</v>
      </c>
      <c r="E91" s="2">
        <v>5.0</v>
      </c>
      <c r="F91" s="6">
        <f>IFERROR(__xludf.DUMMYFUNCTION("""COMPUTED_VALUE"""),1.25098150002304)</f>
        <v>1.2509815</v>
      </c>
    </row>
    <row r="92">
      <c r="A92" s="6" t="str">
        <f t="shared" si="1"/>
        <v>P1</v>
      </c>
      <c r="B92" s="2">
        <v>93.0</v>
      </c>
      <c r="C92" s="2" t="s">
        <v>474</v>
      </c>
      <c r="D92" s="5" t="s">
        <v>13</v>
      </c>
      <c r="E92" s="2">
        <v>5.0</v>
      </c>
      <c r="F92" s="6">
        <f>IFERROR(__xludf.DUMMYFUNCTION("""COMPUTED_VALUE"""),1.36827479989733)</f>
        <v>1.3682748</v>
      </c>
    </row>
    <row r="93">
      <c r="A93" s="6" t="str">
        <f t="shared" si="1"/>
        <v>P1</v>
      </c>
      <c r="B93" s="2">
        <v>94.0</v>
      </c>
      <c r="C93" s="2" t="s">
        <v>479</v>
      </c>
      <c r="D93" s="5" t="s">
        <v>13</v>
      </c>
      <c r="E93" s="2">
        <v>10.0</v>
      </c>
      <c r="F93" s="6">
        <f>IFERROR(__xludf.DUMMYFUNCTION("""COMPUTED_VALUE"""),1.30080730002373)</f>
        <v>1.3008073</v>
      </c>
    </row>
    <row r="94">
      <c r="A94" s="6" t="str">
        <f t="shared" si="1"/>
        <v>P1</v>
      </c>
      <c r="B94" s="2">
        <v>95.0</v>
      </c>
      <c r="C94" s="2" t="s">
        <v>484</v>
      </c>
      <c r="D94" s="5" t="s">
        <v>13</v>
      </c>
      <c r="E94" s="2">
        <v>5.0</v>
      </c>
      <c r="F94" s="6">
        <f>IFERROR(__xludf.DUMMYFUNCTION("""COMPUTED_VALUE"""),1.48532999993767)</f>
        <v>1.48533</v>
      </c>
    </row>
    <row r="95">
      <c r="A95" s="6" t="str">
        <f t="shared" si="1"/>
        <v>P1</v>
      </c>
      <c r="B95" s="2">
        <v>96.0</v>
      </c>
      <c r="C95" s="2" t="s">
        <v>489</v>
      </c>
      <c r="D95" s="5" t="s">
        <v>13</v>
      </c>
      <c r="E95" s="2">
        <v>5.0</v>
      </c>
      <c r="F95" s="6">
        <f>IFERROR(__xludf.DUMMYFUNCTION("""COMPUTED_VALUE"""),1.2835612000199)</f>
        <v>1.2835612</v>
      </c>
    </row>
    <row r="96">
      <c r="A96" s="6" t="str">
        <f t="shared" si="1"/>
        <v>P1</v>
      </c>
      <c r="B96" s="2">
        <v>97.0</v>
      </c>
      <c r="C96" s="2" t="s">
        <v>494</v>
      </c>
      <c r="D96" s="5" t="s">
        <v>13</v>
      </c>
      <c r="E96" s="2">
        <v>5.0</v>
      </c>
      <c r="F96" s="6">
        <f>IFERROR(__xludf.DUMMYFUNCTION("""COMPUTED_VALUE"""),1.86508979997597)</f>
        <v>1.8650898</v>
      </c>
    </row>
    <row r="97">
      <c r="A97" s="6" t="str">
        <f t="shared" si="1"/>
        <v>P1</v>
      </c>
      <c r="B97" s="2">
        <v>98.0</v>
      </c>
      <c r="C97" s="2" t="s">
        <v>499</v>
      </c>
      <c r="D97" s="5" t="s">
        <v>13</v>
      </c>
      <c r="E97" s="2">
        <v>5.0</v>
      </c>
      <c r="F97" s="6">
        <f>IFERROR(__xludf.DUMMYFUNCTION("""COMPUTED_VALUE"""),5.59939129999838)</f>
        <v>5.5993913</v>
      </c>
    </row>
    <row r="98">
      <c r="A98" s="6" t="str">
        <f t="shared" si="1"/>
        <v>P1</v>
      </c>
      <c r="B98" s="2">
        <v>100.0</v>
      </c>
      <c r="C98" s="2" t="s">
        <v>508</v>
      </c>
      <c r="D98" s="5" t="s">
        <v>13</v>
      </c>
      <c r="E98" s="2">
        <v>5.0</v>
      </c>
      <c r="F98" s="6">
        <f>IFERROR(__xludf.DUMMYFUNCTION("""COMPUTED_VALUE"""),1.66423440002836)</f>
        <v>1.6642344</v>
      </c>
    </row>
    <row r="99">
      <c r="A99" s="6" t="str">
        <f t="shared" si="1"/>
        <v>P1</v>
      </c>
      <c r="B99" s="2">
        <v>101.0</v>
      </c>
      <c r="C99" s="2" t="s">
        <v>512</v>
      </c>
      <c r="D99" s="5" t="s">
        <v>13</v>
      </c>
      <c r="E99" s="2">
        <v>10.0</v>
      </c>
      <c r="F99" s="6">
        <f>IFERROR(__xludf.DUMMYFUNCTION("""COMPUTED_VALUE"""),1.52511990000493)</f>
        <v>1.5251199</v>
      </c>
    </row>
    <row r="100">
      <c r="A100" s="6" t="str">
        <f t="shared" si="1"/>
        <v>P1</v>
      </c>
      <c r="B100" s="2">
        <v>102.0</v>
      </c>
      <c r="C100" s="2" t="s">
        <v>517</v>
      </c>
      <c r="D100" s="5" t="s">
        <v>13</v>
      </c>
      <c r="E100" s="2">
        <v>5.0</v>
      </c>
      <c r="F100" s="6">
        <f>IFERROR(__xludf.DUMMYFUNCTION("""COMPUTED_VALUE"""),1.23130220000166)</f>
        <v>1.2313022</v>
      </c>
    </row>
    <row r="101">
      <c r="A101" s="6" t="str">
        <f t="shared" si="1"/>
        <v>P1</v>
      </c>
      <c r="B101" s="2">
        <v>103.0</v>
      </c>
      <c r="C101" s="2" t="s">
        <v>522</v>
      </c>
      <c r="D101" s="5" t="s">
        <v>13</v>
      </c>
      <c r="E101" s="2">
        <v>5.0</v>
      </c>
      <c r="F101" s="6">
        <f>IFERROR(__xludf.DUMMYFUNCTION("""COMPUTED_VALUE"""),1.88541029999032)</f>
        <v>1.8854103</v>
      </c>
    </row>
    <row r="102">
      <c r="A102" s="6" t="str">
        <f t="shared" si="1"/>
        <v>P1</v>
      </c>
      <c r="B102" s="2">
        <v>104.0</v>
      </c>
      <c r="C102" s="2" t="s">
        <v>527</v>
      </c>
      <c r="D102" s="5" t="s">
        <v>13</v>
      </c>
      <c r="E102" s="2">
        <v>10.0</v>
      </c>
      <c r="F102" s="6">
        <f>IFERROR(__xludf.DUMMYFUNCTION("""COMPUTED_VALUE"""),1.84267349995207)</f>
        <v>1.8426735</v>
      </c>
    </row>
    <row r="103">
      <c r="A103" s="6" t="str">
        <f t="shared" si="1"/>
        <v>P1</v>
      </c>
      <c r="B103" s="2">
        <v>105.0</v>
      </c>
      <c r="C103" s="2" t="s">
        <v>532</v>
      </c>
      <c r="D103" s="5" t="s">
        <v>13</v>
      </c>
      <c r="E103" s="2">
        <v>5.0</v>
      </c>
      <c r="F103" s="6">
        <f>IFERROR(__xludf.DUMMYFUNCTION("""COMPUTED_VALUE"""),1.5499039000133)</f>
        <v>1.5499039</v>
      </c>
    </row>
    <row r="104">
      <c r="A104" s="6" t="str">
        <f t="shared" si="1"/>
        <v>P1</v>
      </c>
      <c r="B104" s="2">
        <v>106.0</v>
      </c>
      <c r="C104" s="2" t="s">
        <v>537</v>
      </c>
      <c r="D104" s="5" t="s">
        <v>13</v>
      </c>
      <c r="E104" s="2">
        <v>10.0</v>
      </c>
      <c r="F104" s="6">
        <f>IFERROR(__xludf.DUMMYFUNCTION("""COMPUTED_VALUE"""),1.13797320006415)</f>
        <v>1.1379732</v>
      </c>
    </row>
    <row r="105">
      <c r="A105" s="6" t="str">
        <f t="shared" si="1"/>
        <v>P1</v>
      </c>
      <c r="B105" s="2">
        <v>107.0</v>
      </c>
      <c r="C105" s="2" t="s">
        <v>542</v>
      </c>
      <c r="D105" s="5" t="s">
        <v>13</v>
      </c>
      <c r="E105" s="2">
        <v>5.0</v>
      </c>
      <c r="F105" s="6">
        <f>IFERROR(__xludf.DUMMYFUNCTION("""COMPUTED_VALUE"""),1.18247219990007)</f>
        <v>1.1824722</v>
      </c>
    </row>
    <row r="106">
      <c r="A106" s="6" t="str">
        <f t="shared" si="1"/>
        <v>P1</v>
      </c>
      <c r="B106" s="2">
        <v>108.0</v>
      </c>
      <c r="C106" s="2" t="s">
        <v>547</v>
      </c>
      <c r="D106" s="5" t="s">
        <v>13</v>
      </c>
      <c r="E106" s="2">
        <v>5.0</v>
      </c>
      <c r="F106" s="6">
        <f>IFERROR(__xludf.DUMMYFUNCTION("""COMPUTED_VALUE"""),1.75178589997813)</f>
        <v>1.7517859</v>
      </c>
    </row>
    <row r="107">
      <c r="A107" s="6" t="str">
        <f t="shared" si="1"/>
        <v>P1</v>
      </c>
      <c r="B107" s="2">
        <v>109.0</v>
      </c>
      <c r="C107" s="2" t="s">
        <v>552</v>
      </c>
      <c r="D107" s="5" t="s">
        <v>13</v>
      </c>
      <c r="E107" s="2">
        <v>5.0</v>
      </c>
      <c r="F107" s="6">
        <f>IFERROR(__xludf.DUMMYFUNCTION("""COMPUTED_VALUE"""),1.23414499999489)</f>
        <v>1.234145</v>
      </c>
    </row>
    <row r="108">
      <c r="A108" s="6" t="str">
        <f t="shared" si="1"/>
        <v>P1</v>
      </c>
      <c r="B108" s="2">
        <v>110.0</v>
      </c>
      <c r="C108" s="2" t="s">
        <v>557</v>
      </c>
      <c r="D108" s="5" t="s">
        <v>13</v>
      </c>
      <c r="E108" s="2">
        <v>5.0</v>
      </c>
      <c r="F108" s="6">
        <f>IFERROR(__xludf.DUMMYFUNCTION("""COMPUTED_VALUE"""),1.4288624000037)</f>
        <v>1.4288624</v>
      </c>
    </row>
    <row r="109">
      <c r="A109" s="6" t="str">
        <f t="shared" si="1"/>
        <v>P1</v>
      </c>
      <c r="B109" s="2">
        <v>111.0</v>
      </c>
      <c r="C109" s="2" t="s">
        <v>562</v>
      </c>
      <c r="D109" s="5" t="s">
        <v>13</v>
      </c>
      <c r="E109" s="2">
        <v>10.0</v>
      </c>
      <c r="F109" s="6">
        <f>IFERROR(__xludf.DUMMYFUNCTION("""COMPUTED_VALUE"""),2.12116149999201)</f>
        <v>2.1211615</v>
      </c>
    </row>
    <row r="110">
      <c r="A110" s="6" t="str">
        <f t="shared" si="1"/>
        <v>P1</v>
      </c>
      <c r="B110" s="2">
        <v>112.0</v>
      </c>
      <c r="C110" s="2" t="s">
        <v>567</v>
      </c>
      <c r="D110" s="5" t="s">
        <v>13</v>
      </c>
      <c r="E110" s="2">
        <v>5.0</v>
      </c>
      <c r="F110" s="6">
        <f>IFERROR(__xludf.DUMMYFUNCTION("""COMPUTED_VALUE"""),2.17122819996438)</f>
        <v>2.1712282</v>
      </c>
    </row>
    <row r="111">
      <c r="A111" s="6" t="str">
        <f t="shared" si="1"/>
        <v>P1</v>
      </c>
      <c r="B111" s="2">
        <v>113.0</v>
      </c>
      <c r="C111" s="2" t="s">
        <v>572</v>
      </c>
      <c r="D111" s="5" t="s">
        <v>13</v>
      </c>
      <c r="E111" s="2">
        <v>5.0</v>
      </c>
      <c r="F111" s="6">
        <f>IFERROR(__xludf.DUMMYFUNCTION("""COMPUTED_VALUE"""),1.698576600058)</f>
        <v>1.6985766</v>
      </c>
    </row>
    <row r="112">
      <c r="A112" s="6" t="str">
        <f t="shared" si="1"/>
        <v>P1</v>
      </c>
      <c r="B112" s="2">
        <v>114.0</v>
      </c>
      <c r="C112" s="2" t="s">
        <v>577</v>
      </c>
      <c r="D112" s="5" t="s">
        <v>13</v>
      </c>
      <c r="E112" s="2">
        <v>10.0</v>
      </c>
      <c r="F112" s="6">
        <f>IFERROR(__xludf.DUMMYFUNCTION("""COMPUTED_VALUE"""),2.23846570006571)</f>
        <v>2.2384657</v>
      </c>
    </row>
    <row r="113">
      <c r="A113" s="6" t="str">
        <f t="shared" si="1"/>
        <v>P1</v>
      </c>
      <c r="B113" s="2">
        <v>115.0</v>
      </c>
      <c r="C113" s="2" t="s">
        <v>582</v>
      </c>
      <c r="D113" s="5" t="s">
        <v>13</v>
      </c>
      <c r="E113" s="2">
        <v>10.0</v>
      </c>
      <c r="F113" s="6">
        <f>IFERROR(__xludf.DUMMYFUNCTION("""COMPUTED_VALUE"""),1.28584080003201)</f>
        <v>1.2858408</v>
      </c>
    </row>
    <row r="114">
      <c r="A114" s="6" t="str">
        <f t="shared" si="1"/>
        <v>P1</v>
      </c>
      <c r="B114" s="2">
        <v>116.0</v>
      </c>
      <c r="C114" s="2" t="s">
        <v>586</v>
      </c>
      <c r="D114" s="5" t="s">
        <v>13</v>
      </c>
      <c r="E114" s="2">
        <v>5.0</v>
      </c>
      <c r="F114" s="6">
        <f>IFERROR(__xludf.DUMMYFUNCTION("""COMPUTED_VALUE"""),1.53333840006962)</f>
        <v>1.5333384</v>
      </c>
    </row>
    <row r="115">
      <c r="A115" s="6" t="str">
        <f t="shared" si="1"/>
        <v>P1</v>
      </c>
      <c r="B115" s="2">
        <v>117.0</v>
      </c>
      <c r="C115" s="2" t="s">
        <v>591</v>
      </c>
      <c r="D115" s="5" t="s">
        <v>13</v>
      </c>
      <c r="E115" s="2">
        <v>10.0</v>
      </c>
      <c r="F115" s="6">
        <f>IFERROR(__xludf.DUMMYFUNCTION("""COMPUTED_VALUE"""),2.73578960006125)</f>
        <v>2.7357896</v>
      </c>
    </row>
    <row r="116">
      <c r="A116" s="6" t="str">
        <f t="shared" si="1"/>
        <v>P1</v>
      </c>
      <c r="B116" s="2">
        <v>118.0</v>
      </c>
      <c r="C116" s="2" t="s">
        <v>596</v>
      </c>
      <c r="D116" s="5" t="s">
        <v>13</v>
      </c>
      <c r="E116" s="2">
        <v>5.0</v>
      </c>
      <c r="F116" s="6">
        <f>IFERROR(__xludf.DUMMYFUNCTION("""COMPUTED_VALUE"""),2.28391849994659)</f>
        <v>2.2839185</v>
      </c>
    </row>
    <row r="117">
      <c r="A117" s="6" t="str">
        <f t="shared" si="1"/>
        <v>P1</v>
      </c>
      <c r="B117" s="2">
        <v>119.0</v>
      </c>
      <c r="C117" s="2" t="s">
        <v>601</v>
      </c>
      <c r="D117" s="5" t="s">
        <v>13</v>
      </c>
      <c r="E117" s="2">
        <v>10.0</v>
      </c>
      <c r="F117" s="6">
        <f>IFERROR(__xludf.DUMMYFUNCTION("""COMPUTED_VALUE"""),1.95259000000078)</f>
        <v>1.95259</v>
      </c>
    </row>
    <row r="118">
      <c r="A118" s="6" t="str">
        <f t="shared" si="1"/>
        <v>P1</v>
      </c>
      <c r="B118" s="2">
        <v>120.0</v>
      </c>
      <c r="C118" s="2" t="s">
        <v>606</v>
      </c>
      <c r="D118" s="5" t="s">
        <v>13</v>
      </c>
      <c r="E118" s="2">
        <v>10.0</v>
      </c>
      <c r="F118" s="6">
        <f>IFERROR(__xludf.DUMMYFUNCTION("""COMPUTED_VALUE"""),1.49238770001102)</f>
        <v>1.4923877</v>
      </c>
    </row>
    <row r="119">
      <c r="A119" s="6" t="str">
        <f t="shared" si="1"/>
        <v>P1</v>
      </c>
      <c r="B119" s="2">
        <v>121.0</v>
      </c>
      <c r="C119" s="2" t="s">
        <v>611</v>
      </c>
      <c r="D119" s="5" t="s">
        <v>13</v>
      </c>
      <c r="E119" s="2">
        <v>10.0</v>
      </c>
      <c r="F119" s="6">
        <f>IFERROR(__xludf.DUMMYFUNCTION("""COMPUTED_VALUE"""),1.56211249995976)</f>
        <v>1.5621125</v>
      </c>
    </row>
    <row r="120">
      <c r="A120" s="6" t="str">
        <f t="shared" si="1"/>
        <v>P1</v>
      </c>
      <c r="B120" s="2">
        <v>122.0</v>
      </c>
      <c r="C120" s="2" t="s">
        <v>616</v>
      </c>
      <c r="D120" s="5" t="s">
        <v>13</v>
      </c>
      <c r="E120" s="2">
        <v>5.0</v>
      </c>
      <c r="F120" s="6">
        <f>IFERROR(__xludf.DUMMYFUNCTION("""COMPUTED_VALUE"""),1.5023328999523)</f>
        <v>1.5023329</v>
      </c>
    </row>
    <row r="121">
      <c r="A121" s="6" t="str">
        <f t="shared" si="1"/>
        <v>P1</v>
      </c>
      <c r="B121" s="2">
        <v>123.0</v>
      </c>
      <c r="C121" s="2" t="s">
        <v>621</v>
      </c>
      <c r="D121" s="5" t="s">
        <v>13</v>
      </c>
      <c r="E121" s="2">
        <v>10.0</v>
      </c>
      <c r="F121" s="6">
        <f>IFERROR(__xludf.DUMMYFUNCTION("""COMPUTED_VALUE"""),1.25372089992742)</f>
        <v>1.2537209</v>
      </c>
    </row>
    <row r="122">
      <c r="A122" s="6" t="str">
        <f t="shared" si="1"/>
        <v>P1</v>
      </c>
      <c r="B122" s="2">
        <v>124.0</v>
      </c>
      <c r="C122" s="2" t="s">
        <v>626</v>
      </c>
      <c r="D122" s="5" t="s">
        <v>13</v>
      </c>
      <c r="E122" s="2">
        <v>5.0</v>
      </c>
      <c r="F122" s="6">
        <f>IFERROR(__xludf.DUMMYFUNCTION("""COMPUTED_VALUE"""),1.31296270003076)</f>
        <v>1.3129627</v>
      </c>
    </row>
    <row r="123">
      <c r="A123" s="6" t="str">
        <f t="shared" si="1"/>
        <v>P1</v>
      </c>
      <c r="B123" s="2">
        <v>125.0</v>
      </c>
      <c r="C123" s="2" t="s">
        <v>631</v>
      </c>
      <c r="D123" s="5" t="s">
        <v>13</v>
      </c>
      <c r="E123" s="2">
        <v>10.0</v>
      </c>
      <c r="F123" s="6">
        <f>IFERROR(__xludf.DUMMYFUNCTION("""COMPUTED_VALUE"""),1.77398210007231)</f>
        <v>1.7739821</v>
      </c>
    </row>
    <row r="124">
      <c r="A124" s="6" t="str">
        <f t="shared" si="1"/>
        <v>P1</v>
      </c>
      <c r="B124" s="2">
        <v>126.0</v>
      </c>
      <c r="C124" s="2" t="s">
        <v>636</v>
      </c>
      <c r="D124" s="5" t="s">
        <v>13</v>
      </c>
      <c r="E124" s="2">
        <v>5.0</v>
      </c>
      <c r="F124" s="6">
        <f>IFERROR(__xludf.DUMMYFUNCTION("""COMPUTED_VALUE"""),1.44966559996828)</f>
        <v>1.4496656</v>
      </c>
    </row>
    <row r="125">
      <c r="A125" s="6" t="str">
        <f t="shared" si="1"/>
        <v>P1</v>
      </c>
      <c r="B125" s="2">
        <v>127.0</v>
      </c>
      <c r="C125" s="2" t="s">
        <v>641</v>
      </c>
      <c r="D125" s="5" t="s">
        <v>13</v>
      </c>
      <c r="E125" s="2">
        <v>5.0</v>
      </c>
      <c r="F125" s="6">
        <f>IFERROR(__xludf.DUMMYFUNCTION("""COMPUTED_VALUE"""),1.36599680001381)</f>
        <v>1.3659968</v>
      </c>
    </row>
    <row r="126">
      <c r="A126" s="6" t="str">
        <f t="shared" si="1"/>
        <v>P1</v>
      </c>
      <c r="B126" s="2">
        <v>128.0</v>
      </c>
      <c r="C126" s="2" t="s">
        <v>646</v>
      </c>
      <c r="D126" s="5" t="s">
        <v>13</v>
      </c>
      <c r="E126" s="2">
        <v>10.0</v>
      </c>
      <c r="F126" s="6">
        <f>IFERROR(__xludf.DUMMYFUNCTION("""COMPUTED_VALUE"""),2.2868804000318)</f>
        <v>2.2868804</v>
      </c>
    </row>
    <row r="127">
      <c r="A127" s="6" t="str">
        <f t="shared" si="1"/>
        <v>P1</v>
      </c>
      <c r="B127" s="2">
        <v>129.0</v>
      </c>
      <c r="C127" s="2" t="s">
        <v>651</v>
      </c>
      <c r="D127" s="5" t="s">
        <v>13</v>
      </c>
      <c r="E127" s="2">
        <v>10.0</v>
      </c>
      <c r="F127" s="6">
        <f>IFERROR(__xludf.DUMMYFUNCTION("""COMPUTED_VALUE"""),1.90733129996806)</f>
        <v>1.9073313</v>
      </c>
    </row>
    <row r="128">
      <c r="A128" s="6" t="str">
        <f t="shared" si="1"/>
        <v>P1</v>
      </c>
      <c r="B128" s="2">
        <v>130.0</v>
      </c>
      <c r="C128" s="2" t="s">
        <v>656</v>
      </c>
      <c r="D128" s="5" t="s">
        <v>13</v>
      </c>
      <c r="E128" s="2">
        <v>10.0</v>
      </c>
      <c r="F128" s="6">
        <f>IFERROR(__xludf.DUMMYFUNCTION("""COMPUTED_VALUE"""),2.01960270002018)</f>
        <v>2.0196027</v>
      </c>
    </row>
    <row r="129">
      <c r="A129" s="6" t="str">
        <f t="shared" si="1"/>
        <v>P1</v>
      </c>
      <c r="B129" s="2">
        <v>131.0</v>
      </c>
      <c r="C129" s="2" t="s">
        <v>661</v>
      </c>
      <c r="D129" s="5" t="s">
        <v>13</v>
      </c>
      <c r="E129" s="2">
        <v>10.0</v>
      </c>
      <c r="F129" s="6">
        <f>IFERROR(__xludf.DUMMYFUNCTION("""COMPUTED_VALUE"""),1.10742659994866)</f>
        <v>1.1074266</v>
      </c>
    </row>
    <row r="130">
      <c r="A130" s="6" t="str">
        <f t="shared" si="1"/>
        <v>P1</v>
      </c>
      <c r="B130" s="2">
        <v>132.0</v>
      </c>
      <c r="C130" s="2" t="s">
        <v>666</v>
      </c>
      <c r="D130" s="5" t="s">
        <v>13</v>
      </c>
      <c r="E130" s="2">
        <v>10.0</v>
      </c>
      <c r="F130" s="6">
        <f>IFERROR(__xludf.DUMMYFUNCTION("""COMPUTED_VALUE"""),1.63606769999023)</f>
        <v>1.6360677</v>
      </c>
    </row>
    <row r="131">
      <c r="A131" s="6" t="str">
        <f t="shared" si="1"/>
        <v>P1</v>
      </c>
      <c r="B131" s="2">
        <v>133.0</v>
      </c>
      <c r="C131" s="2" t="s">
        <v>671</v>
      </c>
      <c r="D131" s="5" t="s">
        <v>13</v>
      </c>
      <c r="E131" s="2">
        <v>5.0</v>
      </c>
      <c r="F131" s="6">
        <f>IFERROR(__xludf.DUMMYFUNCTION("""COMPUTED_VALUE"""),1.11869270005263)</f>
        <v>1.1186927</v>
      </c>
    </row>
    <row r="132">
      <c r="A132" s="6" t="str">
        <f t="shared" si="1"/>
        <v>P1</v>
      </c>
      <c r="B132" s="2">
        <v>134.0</v>
      </c>
      <c r="C132" s="2" t="s">
        <v>676</v>
      </c>
      <c r="D132" s="5" t="s">
        <v>13</v>
      </c>
      <c r="E132" s="2">
        <v>5.0</v>
      </c>
      <c r="F132" s="6">
        <f>IFERROR(__xludf.DUMMYFUNCTION("""COMPUTED_VALUE"""),2.2121407999657)</f>
        <v>2.2121408</v>
      </c>
    </row>
    <row r="133">
      <c r="A133" s="6" t="str">
        <f t="shared" si="1"/>
        <v>P1</v>
      </c>
      <c r="B133" s="2">
        <v>135.0</v>
      </c>
      <c r="C133" s="2" t="s">
        <v>681</v>
      </c>
      <c r="D133" s="5" t="s">
        <v>13</v>
      </c>
      <c r="E133" s="2">
        <v>10.0</v>
      </c>
      <c r="F133" s="6">
        <f>IFERROR(__xludf.DUMMYFUNCTION("""COMPUTED_VALUE"""),2.25550790003035)</f>
        <v>2.2555079</v>
      </c>
    </row>
    <row r="134">
      <c r="A134" s="6" t="str">
        <f t="shared" si="1"/>
        <v>P1</v>
      </c>
      <c r="B134" s="2">
        <v>136.0</v>
      </c>
      <c r="C134" s="2" t="s">
        <v>686</v>
      </c>
      <c r="D134" s="5" t="s">
        <v>13</v>
      </c>
      <c r="E134" s="2">
        <v>10.0</v>
      </c>
      <c r="F134" s="6">
        <f>IFERROR(__xludf.DUMMYFUNCTION("""COMPUTED_VALUE"""),3.70458959997631)</f>
        <v>3.7045896</v>
      </c>
    </row>
    <row r="135">
      <c r="A135" s="6" t="str">
        <f t="shared" si="1"/>
        <v>P1</v>
      </c>
      <c r="B135" s="2">
        <v>137.0</v>
      </c>
      <c r="C135" s="2" t="s">
        <v>691</v>
      </c>
      <c r="D135" s="5" t="s">
        <v>13</v>
      </c>
      <c r="E135" s="2">
        <v>10.0</v>
      </c>
      <c r="F135" s="6">
        <f>IFERROR(__xludf.DUMMYFUNCTION("""COMPUTED_VALUE"""),2.01820220006629)</f>
        <v>2.0182022</v>
      </c>
    </row>
    <row r="136">
      <c r="A136" s="6" t="str">
        <f t="shared" si="1"/>
        <v>P1</v>
      </c>
      <c r="B136" s="2">
        <v>138.0</v>
      </c>
      <c r="C136" s="2" t="s">
        <v>696</v>
      </c>
      <c r="D136" s="5" t="s">
        <v>13</v>
      </c>
      <c r="E136" s="2">
        <v>10.0</v>
      </c>
      <c r="F136" s="6">
        <f>IFERROR(__xludf.DUMMYFUNCTION("""COMPUTED_VALUE"""),1.83711840002797)</f>
        <v>1.8371184</v>
      </c>
    </row>
    <row r="137">
      <c r="A137" s="6" t="str">
        <f t="shared" si="1"/>
        <v>P1</v>
      </c>
      <c r="B137" s="2">
        <v>139.0</v>
      </c>
      <c r="C137" s="2" t="s">
        <v>701</v>
      </c>
      <c r="D137" s="5" t="s">
        <v>13</v>
      </c>
      <c r="E137" s="2">
        <v>5.0</v>
      </c>
      <c r="F137" s="6">
        <f>IFERROR(__xludf.DUMMYFUNCTION("""COMPUTED_VALUE"""),1.19799669994972)</f>
        <v>1.1979967</v>
      </c>
    </row>
    <row r="138">
      <c r="A138" s="6" t="str">
        <f t="shared" si="1"/>
        <v>P1</v>
      </c>
      <c r="B138" s="2">
        <v>140.0</v>
      </c>
      <c r="C138" s="2" t="s">
        <v>706</v>
      </c>
      <c r="D138" s="5" t="s">
        <v>13</v>
      </c>
      <c r="E138" s="2">
        <v>10.0</v>
      </c>
      <c r="F138" s="6">
        <f>IFERROR(__xludf.DUMMYFUNCTION("""COMPUTED_VALUE"""),1.6371146000456)</f>
        <v>1.6371146</v>
      </c>
    </row>
    <row r="139">
      <c r="A139" s="6" t="str">
        <f t="shared" si="1"/>
        <v>P1</v>
      </c>
      <c r="B139" s="2">
        <v>141.0</v>
      </c>
      <c r="C139" s="2" t="s">
        <v>711</v>
      </c>
      <c r="D139" s="5" t="s">
        <v>13</v>
      </c>
      <c r="E139" s="2">
        <v>5.0</v>
      </c>
      <c r="F139" s="6">
        <f>IFERROR(__xludf.DUMMYFUNCTION("""COMPUTED_VALUE"""),1.06775309995282)</f>
        <v>1.0677531</v>
      </c>
    </row>
    <row r="140">
      <c r="A140" s="6" t="str">
        <f t="shared" si="1"/>
        <v>P1</v>
      </c>
      <c r="B140" s="2">
        <v>142.0</v>
      </c>
      <c r="C140" s="2" t="s">
        <v>716</v>
      </c>
      <c r="D140" s="5" t="s">
        <v>13</v>
      </c>
      <c r="E140" s="2">
        <v>5.0</v>
      </c>
      <c r="F140" s="6">
        <f>IFERROR(__xludf.DUMMYFUNCTION("""COMPUTED_VALUE"""),1.08238829998299)</f>
        <v>1.0823883</v>
      </c>
    </row>
    <row r="141">
      <c r="A141" s="6" t="str">
        <f t="shared" si="1"/>
        <v>P1</v>
      </c>
      <c r="B141" s="2">
        <v>144.0</v>
      </c>
      <c r="C141" s="2" t="s">
        <v>725</v>
      </c>
      <c r="D141" s="5" t="s">
        <v>13</v>
      </c>
      <c r="E141" s="2">
        <v>10.0</v>
      </c>
      <c r="F141" s="6">
        <f>IFERROR(__xludf.DUMMYFUNCTION("""COMPUTED_VALUE"""),1.21965480002108)</f>
        <v>1.2196548</v>
      </c>
    </row>
    <row r="142">
      <c r="A142" s="6" t="str">
        <f t="shared" si="1"/>
        <v>P1</v>
      </c>
      <c r="B142" s="2">
        <v>145.0</v>
      </c>
      <c r="C142" s="2" t="s">
        <v>730</v>
      </c>
      <c r="D142" s="5" t="s">
        <v>13</v>
      </c>
      <c r="E142" s="2">
        <v>5.0</v>
      </c>
      <c r="F142" s="6">
        <f>IFERROR(__xludf.DUMMYFUNCTION("""COMPUTED_VALUE"""),1.24924049992114)</f>
        <v>1.2492405</v>
      </c>
    </row>
    <row r="143">
      <c r="A143" s="6" t="str">
        <f t="shared" si="1"/>
        <v>P1</v>
      </c>
      <c r="B143" s="2">
        <v>146.0</v>
      </c>
      <c r="C143" s="2" t="s">
        <v>735</v>
      </c>
      <c r="D143" s="5" t="s">
        <v>13</v>
      </c>
      <c r="E143" s="2">
        <v>10.0</v>
      </c>
      <c r="F143" s="6">
        <f>IFERROR(__xludf.DUMMYFUNCTION("""COMPUTED_VALUE"""),1.20875079999677)</f>
        <v>1.2087508</v>
      </c>
    </row>
    <row r="144">
      <c r="A144" s="6" t="str">
        <f t="shared" si="1"/>
        <v>P1</v>
      </c>
      <c r="B144" s="2">
        <v>147.0</v>
      </c>
      <c r="C144" s="2" t="s">
        <v>740</v>
      </c>
      <c r="D144" s="5" t="s">
        <v>13</v>
      </c>
      <c r="E144" s="2">
        <v>10.0</v>
      </c>
      <c r="F144" s="6">
        <f>IFERROR(__xludf.DUMMYFUNCTION("""COMPUTED_VALUE"""),1.2521243999945)</f>
        <v>1.2521244</v>
      </c>
    </row>
    <row r="145">
      <c r="A145" s="6" t="str">
        <f t="shared" si="1"/>
        <v>P1</v>
      </c>
      <c r="B145" s="2">
        <v>148.0</v>
      </c>
      <c r="C145" s="2" t="s">
        <v>745</v>
      </c>
      <c r="D145" s="5" t="s">
        <v>13</v>
      </c>
      <c r="E145" s="2">
        <v>5.0</v>
      </c>
      <c r="F145" s="6">
        <f>IFERROR(__xludf.DUMMYFUNCTION("""COMPUTED_VALUE"""),1.23359149997122)</f>
        <v>1.2335915</v>
      </c>
    </row>
    <row r="146">
      <c r="A146" s="6" t="str">
        <f t="shared" si="1"/>
        <v>P1</v>
      </c>
      <c r="B146" s="2">
        <v>149.0</v>
      </c>
      <c r="C146" s="2" t="s">
        <v>750</v>
      </c>
      <c r="D146" s="5" t="s">
        <v>13</v>
      </c>
      <c r="E146" s="2">
        <v>10.0</v>
      </c>
      <c r="F146" s="6">
        <f>IFERROR(__xludf.DUMMYFUNCTION("""COMPUTED_VALUE"""),1.18751029996201)</f>
        <v>1.1875103</v>
      </c>
    </row>
    <row r="147">
      <c r="A147" s="6" t="str">
        <f t="shared" si="1"/>
        <v>P1</v>
      </c>
      <c r="B147" s="2">
        <v>151.0</v>
      </c>
      <c r="C147" s="2" t="s">
        <v>759</v>
      </c>
      <c r="D147" s="5" t="s">
        <v>13</v>
      </c>
      <c r="E147" s="2">
        <v>10.0</v>
      </c>
      <c r="F147" s="6">
        <f>IFERROR(__xludf.DUMMYFUNCTION("""COMPUTED_VALUE"""),1.78756259998772)</f>
        <v>1.7875626</v>
      </c>
    </row>
    <row r="148">
      <c r="A148" s="6" t="str">
        <f t="shared" si="1"/>
        <v>P1</v>
      </c>
      <c r="B148" s="2">
        <v>152.0</v>
      </c>
      <c r="C148" s="2" t="s">
        <v>764</v>
      </c>
      <c r="D148" s="5" t="s">
        <v>13</v>
      </c>
      <c r="E148" s="2">
        <v>10.0</v>
      </c>
      <c r="F148" s="6">
        <f>IFERROR(__xludf.DUMMYFUNCTION("""COMPUTED_VALUE"""),1.31428599997889)</f>
        <v>1.314286</v>
      </c>
    </row>
    <row r="149">
      <c r="A149" s="6" t="str">
        <f t="shared" si="1"/>
        <v>P1</v>
      </c>
      <c r="B149" s="2">
        <v>153.0</v>
      </c>
      <c r="C149" s="2" t="s">
        <v>769</v>
      </c>
      <c r="D149" s="5" t="s">
        <v>13</v>
      </c>
      <c r="E149" s="2">
        <v>5.0</v>
      </c>
      <c r="F149" s="6">
        <f>IFERROR(__xludf.DUMMYFUNCTION("""COMPUTED_VALUE"""),1.14987269998528)</f>
        <v>1.1498727</v>
      </c>
    </row>
    <row r="150">
      <c r="A150" s="6" t="str">
        <f t="shared" si="1"/>
        <v>P1</v>
      </c>
      <c r="B150" s="2">
        <v>154.0</v>
      </c>
      <c r="C150" s="2" t="s">
        <v>774</v>
      </c>
      <c r="D150" s="5" t="s">
        <v>13</v>
      </c>
      <c r="E150" s="2">
        <v>5.0</v>
      </c>
      <c r="F150" s="6">
        <f>IFERROR(__xludf.DUMMYFUNCTION("""COMPUTED_VALUE"""),1.64837059995625)</f>
        <v>1.6483706</v>
      </c>
    </row>
    <row r="151">
      <c r="A151" s="6" t="str">
        <f t="shared" si="1"/>
        <v>P1</v>
      </c>
      <c r="B151" s="2">
        <v>155.0</v>
      </c>
      <c r="C151" s="2" t="s">
        <v>779</v>
      </c>
      <c r="D151" s="5" t="s">
        <v>13</v>
      </c>
      <c r="E151" s="2">
        <v>10.0</v>
      </c>
      <c r="F151" s="6">
        <f>IFERROR(__xludf.DUMMYFUNCTION("""COMPUTED_VALUE"""),2.44101789989508)</f>
        <v>2.4410179</v>
      </c>
    </row>
    <row r="152">
      <c r="A152" s="6" t="str">
        <f t="shared" si="1"/>
        <v>P1</v>
      </c>
      <c r="B152" s="2">
        <v>156.0</v>
      </c>
      <c r="C152" s="2" t="s">
        <v>784</v>
      </c>
      <c r="D152" s="5" t="s">
        <v>13</v>
      </c>
      <c r="E152" s="2">
        <v>10.0</v>
      </c>
      <c r="F152" s="6">
        <f>IFERROR(__xludf.DUMMYFUNCTION("""COMPUTED_VALUE"""),1.4035705999704)</f>
        <v>1.4035706</v>
      </c>
    </row>
    <row r="153">
      <c r="A153" s="6" t="str">
        <f t="shared" si="1"/>
        <v>P1</v>
      </c>
      <c r="B153" s="2">
        <v>157.0</v>
      </c>
      <c r="C153" s="2" t="s">
        <v>789</v>
      </c>
      <c r="D153" s="5" t="s">
        <v>13</v>
      </c>
      <c r="E153" s="2">
        <v>5.0</v>
      </c>
      <c r="F153" s="6">
        <f>IFERROR(__xludf.DUMMYFUNCTION("""COMPUTED_VALUE"""),1.54826220008544)</f>
        <v>1.5482622</v>
      </c>
    </row>
    <row r="154">
      <c r="A154" s="6" t="str">
        <f t="shared" si="1"/>
        <v>P1</v>
      </c>
      <c r="B154" s="2">
        <v>158.0</v>
      </c>
      <c r="C154" s="2" t="s">
        <v>794</v>
      </c>
      <c r="D154" s="5" t="s">
        <v>13</v>
      </c>
      <c r="E154" s="2">
        <v>5.0</v>
      </c>
      <c r="F154" s="6">
        <f>IFERROR(__xludf.DUMMYFUNCTION("""COMPUTED_VALUE"""),1.50020690006203)</f>
        <v>1.5002069</v>
      </c>
    </row>
    <row r="155">
      <c r="A155" s="6" t="str">
        <f t="shared" si="1"/>
        <v>P1</v>
      </c>
      <c r="B155" s="2">
        <v>159.0</v>
      </c>
      <c r="C155" s="2" t="s">
        <v>799</v>
      </c>
      <c r="D155" s="5" t="s">
        <v>13</v>
      </c>
      <c r="E155" s="2">
        <v>10.0</v>
      </c>
      <c r="F155" s="6">
        <f>IFERROR(__xludf.DUMMYFUNCTION("""COMPUTED_VALUE"""),1.53736499999649)</f>
        <v>1.537365</v>
      </c>
    </row>
    <row r="156">
      <c r="A156" s="6" t="str">
        <f t="shared" si="1"/>
        <v>P1</v>
      </c>
      <c r="B156" s="2">
        <v>160.0</v>
      </c>
      <c r="C156" s="2" t="s">
        <v>804</v>
      </c>
      <c r="D156" s="5" t="s">
        <v>13</v>
      </c>
      <c r="E156" s="2">
        <v>5.0</v>
      </c>
      <c r="F156" s="6">
        <f>IFERROR(__xludf.DUMMYFUNCTION("""COMPUTED_VALUE"""),1.54745299997739)</f>
        <v>1.547453</v>
      </c>
    </row>
    <row r="157">
      <c r="A157" s="6" t="str">
        <f t="shared" si="1"/>
        <v>P1</v>
      </c>
      <c r="B157" s="2">
        <v>161.0</v>
      </c>
      <c r="C157" s="2" t="s">
        <v>809</v>
      </c>
      <c r="D157" s="5" t="s">
        <v>13</v>
      </c>
      <c r="E157" s="2">
        <v>10.0</v>
      </c>
      <c r="F157" s="6">
        <f>IFERROR(__xludf.DUMMYFUNCTION("""COMPUTED_VALUE"""),1.70230269990861)</f>
        <v>1.7023027</v>
      </c>
    </row>
    <row r="158">
      <c r="A158" s="6" t="str">
        <f t="shared" si="1"/>
        <v>P1</v>
      </c>
      <c r="B158" s="2">
        <v>162.0</v>
      </c>
      <c r="C158" s="2" t="s">
        <v>813</v>
      </c>
      <c r="D158" s="5" t="s">
        <v>13</v>
      </c>
      <c r="E158" s="2">
        <v>5.0</v>
      </c>
      <c r="F158" s="6">
        <f>IFERROR(__xludf.DUMMYFUNCTION("""COMPUTED_VALUE"""),1.46646459994371)</f>
        <v>1.4664646</v>
      </c>
    </row>
    <row r="159">
      <c r="A159" s="6" t="str">
        <f t="shared" si="1"/>
        <v>P1</v>
      </c>
      <c r="B159" s="2">
        <v>163.0</v>
      </c>
      <c r="C159" s="2" t="s">
        <v>818</v>
      </c>
      <c r="D159" s="5" t="s">
        <v>13</v>
      </c>
      <c r="E159" s="2">
        <v>5.0</v>
      </c>
      <c r="F159" s="6">
        <f>IFERROR(__xludf.DUMMYFUNCTION("""COMPUTED_VALUE"""),1.39890989998821)</f>
        <v>1.3989099</v>
      </c>
    </row>
    <row r="160">
      <c r="A160" s="6" t="str">
        <f t="shared" si="1"/>
        <v>P1</v>
      </c>
      <c r="B160" s="2">
        <v>164.0</v>
      </c>
      <c r="C160" s="2" t="s">
        <v>823</v>
      </c>
      <c r="D160" s="5" t="s">
        <v>13</v>
      </c>
      <c r="E160" s="2">
        <v>5.0</v>
      </c>
      <c r="F160" s="6">
        <f>IFERROR(__xludf.DUMMYFUNCTION("""COMPUTED_VALUE"""),1.67024520004633)</f>
        <v>1.6702452</v>
      </c>
    </row>
    <row r="161">
      <c r="A161" s="6" t="str">
        <f t="shared" si="1"/>
        <v>P1</v>
      </c>
      <c r="B161" s="2">
        <v>165.0</v>
      </c>
      <c r="C161" s="2" t="s">
        <v>828</v>
      </c>
      <c r="D161" s="5" t="s">
        <v>13</v>
      </c>
      <c r="E161" s="2">
        <v>10.0</v>
      </c>
      <c r="F161" s="6">
        <f>IFERROR(__xludf.DUMMYFUNCTION("""COMPUTED_VALUE"""),3.81981400004588)</f>
        <v>3.819814</v>
      </c>
    </row>
    <row r="162">
      <c r="A162" s="6" t="str">
        <f t="shared" si="1"/>
        <v>P1</v>
      </c>
      <c r="B162" s="2">
        <v>166.0</v>
      </c>
      <c r="C162" s="2" t="s">
        <v>833</v>
      </c>
      <c r="D162" s="5" t="s">
        <v>13</v>
      </c>
      <c r="E162" s="2">
        <v>5.0</v>
      </c>
      <c r="F162" s="6">
        <f>IFERROR(__xludf.DUMMYFUNCTION("""COMPUTED_VALUE"""),1.24999839998781)</f>
        <v>1.2499984</v>
      </c>
    </row>
    <row r="163">
      <c r="A163" s="6" t="str">
        <f t="shared" si="1"/>
        <v>P1</v>
      </c>
      <c r="B163" s="2">
        <v>167.0</v>
      </c>
      <c r="C163" s="2" t="s">
        <v>838</v>
      </c>
      <c r="D163" s="5" t="s">
        <v>13</v>
      </c>
      <c r="E163" s="2">
        <v>5.0</v>
      </c>
      <c r="F163" s="6">
        <f>IFERROR(__xludf.DUMMYFUNCTION("""COMPUTED_VALUE"""),1.51395409996621)</f>
        <v>1.5139541</v>
      </c>
    </row>
    <row r="164">
      <c r="A164" s="6" t="str">
        <f t="shared" si="1"/>
        <v>P1</v>
      </c>
      <c r="B164" s="2">
        <v>168.0</v>
      </c>
      <c r="C164" s="2" t="s">
        <v>842</v>
      </c>
      <c r="D164" s="5" t="s">
        <v>13</v>
      </c>
      <c r="E164" s="2">
        <v>10.0</v>
      </c>
      <c r="F164" s="6">
        <f>IFERROR(__xludf.DUMMYFUNCTION("""COMPUTED_VALUE"""),1.30360690003726)</f>
        <v>1.3036069</v>
      </c>
    </row>
    <row r="165">
      <c r="A165" s="6" t="str">
        <f t="shared" si="1"/>
        <v>P1</v>
      </c>
      <c r="B165" s="2">
        <v>169.0</v>
      </c>
      <c r="C165" s="2" t="s">
        <v>846</v>
      </c>
      <c r="D165" s="5" t="s">
        <v>13</v>
      </c>
      <c r="E165" s="2">
        <v>5.0</v>
      </c>
      <c r="F165" s="6">
        <f>IFERROR(__xludf.DUMMYFUNCTION("""COMPUTED_VALUE"""),1.29953950003255)</f>
        <v>1.2995395</v>
      </c>
    </row>
    <row r="166">
      <c r="A166" s="6" t="str">
        <f t="shared" si="1"/>
        <v>P1</v>
      </c>
      <c r="B166" s="2">
        <v>170.0</v>
      </c>
      <c r="C166" s="2" t="s">
        <v>851</v>
      </c>
      <c r="D166" s="5" t="s">
        <v>13</v>
      </c>
      <c r="E166" s="2">
        <v>10.0</v>
      </c>
      <c r="F166" s="6">
        <f>IFERROR(__xludf.DUMMYFUNCTION("""COMPUTED_VALUE"""),1.73490830010268)</f>
        <v>1.7349083</v>
      </c>
    </row>
    <row r="167">
      <c r="A167" s="6" t="str">
        <f t="shared" si="1"/>
        <v>P1</v>
      </c>
      <c r="B167" s="2">
        <v>171.0</v>
      </c>
      <c r="C167" s="2" t="s">
        <v>856</v>
      </c>
      <c r="D167" s="5" t="s">
        <v>13</v>
      </c>
      <c r="E167" s="2">
        <v>10.0</v>
      </c>
      <c r="F167" s="6">
        <f>IFERROR(__xludf.DUMMYFUNCTION("""COMPUTED_VALUE"""),2.4199418000644)</f>
        <v>2.4199418</v>
      </c>
    </row>
    <row r="168">
      <c r="A168" s="6" t="str">
        <f t="shared" si="1"/>
        <v>P1</v>
      </c>
      <c r="B168" s="2">
        <v>172.0</v>
      </c>
      <c r="C168" s="2" t="s">
        <v>861</v>
      </c>
      <c r="D168" s="5" t="s">
        <v>13</v>
      </c>
      <c r="E168" s="2">
        <v>5.0</v>
      </c>
      <c r="F168" s="6">
        <f>IFERROR(__xludf.DUMMYFUNCTION("""COMPUTED_VALUE"""),1.83419399999547)</f>
        <v>1.834194</v>
      </c>
    </row>
    <row r="169">
      <c r="A169" s="6" t="str">
        <f t="shared" si="1"/>
        <v>P1</v>
      </c>
      <c r="B169" s="2">
        <v>173.0</v>
      </c>
      <c r="C169" s="2" t="s">
        <v>866</v>
      </c>
      <c r="D169" s="5" t="s">
        <v>13</v>
      </c>
      <c r="E169" s="2">
        <v>10.0</v>
      </c>
      <c r="F169" s="6">
        <f>IFERROR(__xludf.DUMMYFUNCTION("""COMPUTED_VALUE"""),2.17007360002025)</f>
        <v>2.1700736</v>
      </c>
    </row>
    <row r="170">
      <c r="A170" s="6" t="str">
        <f t="shared" si="1"/>
        <v>P1</v>
      </c>
      <c r="B170" s="2">
        <v>174.0</v>
      </c>
      <c r="C170" s="2" t="s">
        <v>871</v>
      </c>
      <c r="D170" s="5" t="s">
        <v>13</v>
      </c>
      <c r="E170" s="2">
        <v>10.0</v>
      </c>
      <c r="F170" s="6">
        <f>IFERROR(__xludf.DUMMYFUNCTION("""COMPUTED_VALUE"""),1.87971789995208)</f>
        <v>1.8797179</v>
      </c>
    </row>
    <row r="171">
      <c r="A171" s="6" t="str">
        <f t="shared" si="1"/>
        <v>P1</v>
      </c>
      <c r="B171" s="2">
        <v>175.0</v>
      </c>
      <c r="C171" s="2" t="s">
        <v>876</v>
      </c>
      <c r="D171" s="5" t="s">
        <v>13</v>
      </c>
      <c r="E171" s="2">
        <v>10.0</v>
      </c>
      <c r="F171" s="6">
        <f>IFERROR(__xludf.DUMMYFUNCTION("""COMPUTED_VALUE"""),1.88198349997401)</f>
        <v>1.8819835</v>
      </c>
    </row>
    <row r="172">
      <c r="A172" s="6" t="str">
        <f t="shared" si="1"/>
        <v>P1</v>
      </c>
      <c r="B172" s="2">
        <v>176.0</v>
      </c>
      <c r="C172" s="2" t="s">
        <v>881</v>
      </c>
      <c r="D172" s="5" t="s">
        <v>13</v>
      </c>
      <c r="E172" s="2">
        <v>10.0</v>
      </c>
      <c r="F172" s="6">
        <f>IFERROR(__xludf.DUMMYFUNCTION("""COMPUTED_VALUE"""),2.4558719000779)</f>
        <v>2.4558719</v>
      </c>
    </row>
    <row r="173">
      <c r="A173" s="6" t="str">
        <f t="shared" si="1"/>
        <v>P1</v>
      </c>
      <c r="B173" s="2">
        <v>177.0</v>
      </c>
      <c r="C173" s="2" t="s">
        <v>886</v>
      </c>
      <c r="D173" s="5" t="s">
        <v>13</v>
      </c>
      <c r="E173" s="2">
        <v>5.0</v>
      </c>
      <c r="F173" s="6">
        <f>IFERROR(__xludf.DUMMYFUNCTION("""COMPUTED_VALUE"""),1.66903300001285)</f>
        <v>1.669033</v>
      </c>
    </row>
    <row r="174">
      <c r="A174" s="6" t="str">
        <f t="shared" si="1"/>
        <v>P1</v>
      </c>
      <c r="B174" s="2">
        <v>178.0</v>
      </c>
      <c r="C174" s="2" t="s">
        <v>891</v>
      </c>
      <c r="D174" s="5" t="s">
        <v>13</v>
      </c>
      <c r="E174" s="2">
        <v>10.0</v>
      </c>
      <c r="F174" s="6">
        <f>IFERROR(__xludf.DUMMYFUNCTION("""COMPUTED_VALUE"""),3.9696532000089)</f>
        <v>3.9696532</v>
      </c>
    </row>
    <row r="175">
      <c r="A175" s="6" t="str">
        <f t="shared" si="1"/>
        <v>P1</v>
      </c>
      <c r="B175" s="2">
        <v>179.0</v>
      </c>
      <c r="C175" s="2" t="s">
        <v>896</v>
      </c>
      <c r="D175" s="5" t="s">
        <v>13</v>
      </c>
      <c r="E175" s="2">
        <v>10.0</v>
      </c>
      <c r="F175" s="6">
        <f>IFERROR(__xludf.DUMMYFUNCTION("""COMPUTED_VALUE"""),2.47129269992001)</f>
        <v>2.4712927</v>
      </c>
    </row>
    <row r="176">
      <c r="A176" s="6" t="str">
        <f t="shared" si="1"/>
        <v>P1</v>
      </c>
      <c r="B176" s="2">
        <v>180.0</v>
      </c>
      <c r="C176" s="2" t="s">
        <v>901</v>
      </c>
      <c r="D176" s="5" t="s">
        <v>13</v>
      </c>
      <c r="E176" s="2">
        <v>5.0</v>
      </c>
      <c r="F176" s="6">
        <f>IFERROR(__xludf.DUMMYFUNCTION("""COMPUTED_VALUE"""),1.16558629996143)</f>
        <v>1.1655863</v>
      </c>
    </row>
    <row r="177">
      <c r="A177" s="6" t="str">
        <f t="shared" si="1"/>
        <v>P1</v>
      </c>
      <c r="B177" s="2">
        <v>181.0</v>
      </c>
      <c r="C177" s="2" t="s">
        <v>906</v>
      </c>
      <c r="D177" s="5" t="s">
        <v>13</v>
      </c>
      <c r="E177" s="2">
        <v>5.0</v>
      </c>
      <c r="F177" s="6">
        <f>IFERROR(__xludf.DUMMYFUNCTION("""COMPUTED_VALUE"""),1.43182910000905)</f>
        <v>1.4318291</v>
      </c>
    </row>
    <row r="178">
      <c r="A178" s="6" t="str">
        <f t="shared" si="1"/>
        <v>P1</v>
      </c>
      <c r="B178" s="2">
        <v>182.0</v>
      </c>
      <c r="C178" s="2" t="s">
        <v>911</v>
      </c>
      <c r="D178" s="5" t="s">
        <v>13</v>
      </c>
      <c r="E178" s="2">
        <v>5.0</v>
      </c>
      <c r="F178" s="6">
        <f>IFERROR(__xludf.DUMMYFUNCTION("""COMPUTED_VALUE"""),1.22838450002018)</f>
        <v>1.2283845</v>
      </c>
    </row>
    <row r="179">
      <c r="A179" s="6" t="str">
        <f t="shared" si="1"/>
        <v>P1</v>
      </c>
      <c r="B179" s="2">
        <v>183.0</v>
      </c>
      <c r="C179" s="2" t="s">
        <v>916</v>
      </c>
      <c r="D179" s="5" t="s">
        <v>13</v>
      </c>
      <c r="E179" s="2">
        <v>5.0</v>
      </c>
      <c r="F179" s="6">
        <f>IFERROR(__xludf.DUMMYFUNCTION("""COMPUTED_VALUE"""),1.16802039998583)</f>
        <v>1.1680204</v>
      </c>
    </row>
    <row r="180">
      <c r="A180" s="6" t="str">
        <f t="shared" si="1"/>
        <v>P1</v>
      </c>
      <c r="B180" s="2">
        <v>184.0</v>
      </c>
      <c r="C180" s="2" t="s">
        <v>921</v>
      </c>
      <c r="D180" s="5" t="s">
        <v>13</v>
      </c>
      <c r="E180" s="2">
        <v>5.0</v>
      </c>
      <c r="F180" s="6">
        <f>IFERROR(__xludf.DUMMYFUNCTION("""COMPUTED_VALUE"""),1.36533389997202)</f>
        <v>1.3653339</v>
      </c>
    </row>
    <row r="181">
      <c r="A181" s="6" t="str">
        <f t="shared" si="1"/>
        <v>P1</v>
      </c>
      <c r="B181" s="2">
        <v>185.0</v>
      </c>
      <c r="C181" s="2" t="s">
        <v>926</v>
      </c>
      <c r="D181" s="5" t="s">
        <v>13</v>
      </c>
      <c r="E181" s="2">
        <v>10.0</v>
      </c>
      <c r="F181" s="6">
        <f>IFERROR(__xludf.DUMMYFUNCTION("""COMPUTED_VALUE"""),1.42035140004009)</f>
        <v>1.4203514</v>
      </c>
    </row>
    <row r="182">
      <c r="A182" s="6" t="str">
        <f t="shared" si="1"/>
        <v>P1</v>
      </c>
      <c r="B182" s="2">
        <v>187.0</v>
      </c>
      <c r="C182" s="2" t="s">
        <v>935</v>
      </c>
      <c r="D182" s="5" t="s">
        <v>13</v>
      </c>
      <c r="E182" s="2">
        <v>10.0</v>
      </c>
      <c r="F182" s="6">
        <f>IFERROR(__xludf.DUMMYFUNCTION("""COMPUTED_VALUE"""),1.66829729999881)</f>
        <v>1.6682973</v>
      </c>
    </row>
    <row r="183">
      <c r="A183" s="6" t="str">
        <f t="shared" si="1"/>
        <v>P1</v>
      </c>
      <c r="B183" s="2">
        <v>188.0</v>
      </c>
      <c r="C183" s="2" t="s">
        <v>939</v>
      </c>
      <c r="D183" s="5" t="s">
        <v>13</v>
      </c>
      <c r="E183" s="2">
        <v>5.0</v>
      </c>
      <c r="F183" s="6">
        <f>IFERROR(__xludf.DUMMYFUNCTION("""COMPUTED_VALUE"""),1.23241320007946)</f>
        <v>1.2324132</v>
      </c>
    </row>
    <row r="184">
      <c r="A184" s="6" t="str">
        <f t="shared" si="1"/>
        <v>P1</v>
      </c>
      <c r="B184" s="2">
        <v>189.0</v>
      </c>
      <c r="C184" s="2" t="s">
        <v>943</v>
      </c>
      <c r="D184" s="5" t="s">
        <v>13</v>
      </c>
      <c r="E184" s="2">
        <v>5.0</v>
      </c>
      <c r="F184" s="6">
        <f>IFERROR(__xludf.DUMMYFUNCTION("""COMPUTED_VALUE"""),2.46693059999961)</f>
        <v>2.4669306</v>
      </c>
    </row>
    <row r="185">
      <c r="A185" s="6" t="str">
        <f t="shared" si="1"/>
        <v>P1</v>
      </c>
      <c r="B185" s="2">
        <v>190.0</v>
      </c>
      <c r="C185" s="2" t="s">
        <v>948</v>
      </c>
      <c r="D185" s="5" t="s">
        <v>13</v>
      </c>
      <c r="E185" s="2">
        <v>10.0</v>
      </c>
      <c r="F185" s="6">
        <f>IFERROR(__xludf.DUMMYFUNCTION("""COMPUTED_VALUE"""),1.38644039991777)</f>
        <v>1.3864404</v>
      </c>
    </row>
    <row r="186">
      <c r="A186" s="6" t="str">
        <f t="shared" si="1"/>
        <v>P1</v>
      </c>
      <c r="B186" s="2">
        <v>191.0</v>
      </c>
      <c r="C186" s="2" t="s">
        <v>952</v>
      </c>
      <c r="D186" s="5" t="s">
        <v>13</v>
      </c>
      <c r="E186" s="2">
        <v>5.0</v>
      </c>
      <c r="F186" s="6">
        <f>IFERROR(__xludf.DUMMYFUNCTION("""COMPUTED_VALUE"""),1.90019329998176)</f>
        <v>1.9001933</v>
      </c>
    </row>
    <row r="187">
      <c r="A187" s="6" t="str">
        <f t="shared" si="1"/>
        <v>P1</v>
      </c>
      <c r="B187" s="2">
        <v>192.0</v>
      </c>
      <c r="C187" s="2" t="s">
        <v>956</v>
      </c>
      <c r="D187" s="5" t="s">
        <v>13</v>
      </c>
      <c r="E187" s="2">
        <v>5.0</v>
      </c>
      <c r="F187" s="6">
        <f>IFERROR(__xludf.DUMMYFUNCTION("""COMPUTED_VALUE"""),1.36631249997299)</f>
        <v>1.3663125</v>
      </c>
    </row>
    <row r="188">
      <c r="A188" s="6" t="str">
        <f t="shared" si="1"/>
        <v>P1</v>
      </c>
      <c r="B188" s="2">
        <v>193.0</v>
      </c>
      <c r="C188" s="2" t="s">
        <v>961</v>
      </c>
      <c r="D188" s="5" t="s">
        <v>13</v>
      </c>
      <c r="E188" s="2">
        <v>5.0</v>
      </c>
      <c r="F188" s="6">
        <f>IFERROR(__xludf.DUMMYFUNCTION("""COMPUTED_VALUE"""),1.41568559990264)</f>
        <v>1.4156856</v>
      </c>
    </row>
    <row r="189">
      <c r="A189" s="6" t="str">
        <f t="shared" si="1"/>
        <v>P1</v>
      </c>
      <c r="B189" s="2">
        <v>194.0</v>
      </c>
      <c r="C189" s="2" t="s">
        <v>966</v>
      </c>
      <c r="D189" s="5" t="s">
        <v>13</v>
      </c>
      <c r="E189" s="2">
        <v>5.0</v>
      </c>
      <c r="F189" s="6">
        <f>IFERROR(__xludf.DUMMYFUNCTION("""COMPUTED_VALUE"""),1.54945839999709)</f>
        <v>1.5494584</v>
      </c>
    </row>
    <row r="190">
      <c r="A190" s="6" t="str">
        <f t="shared" si="1"/>
        <v>P1</v>
      </c>
      <c r="B190" s="2">
        <v>195.0</v>
      </c>
      <c r="C190" s="2" t="s">
        <v>971</v>
      </c>
      <c r="D190" s="5" t="s">
        <v>13</v>
      </c>
      <c r="E190" s="2">
        <v>10.0</v>
      </c>
      <c r="F190" s="6">
        <f>IFERROR(__xludf.DUMMYFUNCTION("""COMPUTED_VALUE"""),2.05452719994355)</f>
        <v>2.0545272</v>
      </c>
    </row>
    <row r="191">
      <c r="A191" s="6" t="str">
        <f t="shared" si="1"/>
        <v>P1</v>
      </c>
      <c r="B191" s="2">
        <v>196.0</v>
      </c>
      <c r="C191" s="2" t="s">
        <v>976</v>
      </c>
      <c r="D191" s="5" t="s">
        <v>13</v>
      </c>
      <c r="E191" s="2">
        <v>10.0</v>
      </c>
      <c r="F191" s="6">
        <f>IFERROR(__xludf.DUMMYFUNCTION("""COMPUTED_VALUE"""),1.70161879993975)</f>
        <v>1.7016188</v>
      </c>
    </row>
    <row r="192">
      <c r="A192" s="6" t="str">
        <f t="shared" si="1"/>
        <v>P1</v>
      </c>
      <c r="B192" s="2">
        <v>197.0</v>
      </c>
      <c r="C192" s="2" t="s">
        <v>981</v>
      </c>
      <c r="D192" s="5" t="s">
        <v>13</v>
      </c>
      <c r="E192" s="2">
        <v>5.0</v>
      </c>
      <c r="F192" s="6">
        <f>IFERROR(__xludf.DUMMYFUNCTION("""COMPUTED_VALUE"""),1.53569299995433)</f>
        <v>1.535693</v>
      </c>
    </row>
    <row r="193">
      <c r="A193" s="6" t="str">
        <f t="shared" si="1"/>
        <v>P1</v>
      </c>
      <c r="B193" s="2">
        <v>198.0</v>
      </c>
      <c r="C193" s="2" t="s">
        <v>986</v>
      </c>
      <c r="D193" s="5" t="s">
        <v>13</v>
      </c>
      <c r="E193" s="2">
        <v>5.0</v>
      </c>
      <c r="F193" s="6">
        <f>IFERROR(__xludf.DUMMYFUNCTION("""COMPUTED_VALUE"""),1.46258759999182)</f>
        <v>1.4625876</v>
      </c>
    </row>
    <row r="194">
      <c r="A194" s="6" t="str">
        <f t="shared" si="1"/>
        <v>P1</v>
      </c>
      <c r="B194" s="2">
        <v>199.0</v>
      </c>
      <c r="C194" s="2" t="s">
        <v>991</v>
      </c>
      <c r="D194" s="5" t="s">
        <v>13</v>
      </c>
      <c r="E194" s="2">
        <v>5.0</v>
      </c>
      <c r="F194" s="6">
        <f>IFERROR(__xludf.DUMMYFUNCTION("""COMPUTED_VALUE"""),1.43406130000948)</f>
        <v>1.4340613</v>
      </c>
    </row>
    <row r="195">
      <c r="A195" s="6" t="str">
        <f t="shared" si="1"/>
        <v>P1</v>
      </c>
      <c r="B195" s="2">
        <v>0.0</v>
      </c>
      <c r="C195" s="2" t="s">
        <v>14</v>
      </c>
      <c r="D195" s="2" t="s">
        <v>13</v>
      </c>
      <c r="E195" s="2">
        <v>5.0</v>
      </c>
      <c r="F195" s="6">
        <f>IFERROR(__xludf.DUMMYFUNCTION("""COMPUTED_VALUE"""),1.40260780008975)</f>
        <v>1.4026078</v>
      </c>
    </row>
    <row r="196">
      <c r="A196" s="6" t="str">
        <f t="shared" si="1"/>
        <v>P1</v>
      </c>
      <c r="B196" s="2">
        <v>1.0</v>
      </c>
      <c r="C196" s="2" t="s">
        <v>20</v>
      </c>
      <c r="D196" s="2" t="s">
        <v>13</v>
      </c>
      <c r="E196" s="2">
        <v>5.0</v>
      </c>
      <c r="F196" s="6">
        <f>IFERROR(__xludf.DUMMYFUNCTION("""COMPUTED_VALUE"""),1.65142369992099)</f>
        <v>1.6514237</v>
      </c>
    </row>
    <row r="197">
      <c r="A197" s="6" t="str">
        <f t="shared" si="1"/>
        <v>P1</v>
      </c>
      <c r="B197" s="2">
        <v>2.0</v>
      </c>
      <c r="C197" s="2" t="s">
        <v>25</v>
      </c>
      <c r="D197" s="2" t="s">
        <v>13</v>
      </c>
      <c r="E197" s="2">
        <v>5.0</v>
      </c>
      <c r="F197" s="6">
        <f>IFERROR(__xludf.DUMMYFUNCTION("""COMPUTED_VALUE"""),1.44581580010708)</f>
        <v>1.4458158</v>
      </c>
    </row>
    <row r="198">
      <c r="A198" s="6" t="str">
        <f t="shared" si="1"/>
        <v>P1</v>
      </c>
      <c r="B198" s="2">
        <v>3.0</v>
      </c>
      <c r="C198" s="2" t="s">
        <v>30</v>
      </c>
      <c r="D198" s="2" t="s">
        <v>13</v>
      </c>
      <c r="E198" s="2">
        <v>10.0</v>
      </c>
      <c r="F198" s="6">
        <f>IFERROR(__xludf.DUMMYFUNCTION("""COMPUTED_VALUE"""),2.43504240002948)</f>
        <v>2.4350424</v>
      </c>
    </row>
    <row r="199">
      <c r="A199" s="6" t="str">
        <f t="shared" si="1"/>
        <v>P1</v>
      </c>
      <c r="B199" s="2">
        <v>4.0</v>
      </c>
      <c r="C199" s="2" t="s">
        <v>35</v>
      </c>
      <c r="D199" s="2" t="s">
        <v>13</v>
      </c>
      <c r="E199" s="2">
        <v>5.0</v>
      </c>
      <c r="F199" s="6">
        <f>IFERROR(__xludf.DUMMYFUNCTION("""COMPUTED_VALUE"""),1.4482911999803)</f>
        <v>1.4482912</v>
      </c>
    </row>
    <row r="200">
      <c r="A200" s="6" t="str">
        <f t="shared" si="1"/>
        <v>P1</v>
      </c>
      <c r="B200" s="2">
        <v>5.0</v>
      </c>
      <c r="C200" s="2" t="s">
        <v>40</v>
      </c>
      <c r="D200" s="2" t="s">
        <v>13</v>
      </c>
      <c r="E200" s="2">
        <v>5.0</v>
      </c>
      <c r="F200" s="6">
        <f>IFERROR(__xludf.DUMMYFUNCTION("""COMPUTED_VALUE"""),1.14707890001591)</f>
        <v>1.1470789</v>
      </c>
    </row>
    <row r="201">
      <c r="A201" s="6" t="str">
        <f t="shared" si="1"/>
        <v>P1</v>
      </c>
      <c r="B201" s="2">
        <v>6.0</v>
      </c>
      <c r="C201" s="2" t="s">
        <v>45</v>
      </c>
      <c r="D201" s="2" t="s">
        <v>13</v>
      </c>
      <c r="E201" s="2">
        <v>10.0</v>
      </c>
      <c r="F201" s="6">
        <f>IFERROR(__xludf.DUMMYFUNCTION("""COMPUTED_VALUE"""),1.20220379997044)</f>
        <v>1.2022038</v>
      </c>
    </row>
    <row r="202">
      <c r="A202" s="6" t="str">
        <f t="shared" ref="A202:A401" si="2"> "P2"</f>
        <v>P2</v>
      </c>
      <c r="B202" s="2">
        <v>7.0</v>
      </c>
      <c r="C202" s="2" t="s">
        <v>50</v>
      </c>
      <c r="D202" s="2" t="s">
        <v>13</v>
      </c>
      <c r="E202" s="2">
        <v>10.0</v>
      </c>
      <c r="F202" s="6">
        <f>IFERROR(__xludf.DUMMYFUNCTION("""COMPUTED_VALUE"""),1.93334560003131)</f>
        <v>1.9333456</v>
      </c>
    </row>
    <row r="203">
      <c r="A203" s="6" t="str">
        <f t="shared" si="2"/>
        <v>P2</v>
      </c>
      <c r="B203" s="2">
        <v>8.0</v>
      </c>
      <c r="C203" s="2" t="s">
        <v>55</v>
      </c>
      <c r="D203" s="2" t="s">
        <v>13</v>
      </c>
      <c r="E203" s="2">
        <v>5.0</v>
      </c>
      <c r="F203" s="6">
        <f>IFERROR(__xludf.DUMMYFUNCTION("""COMPUTED_VALUE"""),1.58470389991998)</f>
        <v>1.5847039</v>
      </c>
    </row>
    <row r="204">
      <c r="A204" s="6" t="str">
        <f t="shared" si="2"/>
        <v>P2</v>
      </c>
      <c r="B204" s="2">
        <v>9.0</v>
      </c>
      <c r="C204" s="2" t="s">
        <v>60</v>
      </c>
      <c r="D204" s="2" t="s">
        <v>13</v>
      </c>
      <c r="E204" s="2">
        <v>10.0</v>
      </c>
      <c r="F204" s="6">
        <f>IFERROR(__xludf.DUMMYFUNCTION("""COMPUTED_VALUE"""),1.41800070006866)</f>
        <v>1.4180007</v>
      </c>
    </row>
    <row r="205">
      <c r="A205" s="6" t="str">
        <f t="shared" si="2"/>
        <v>P2</v>
      </c>
      <c r="B205" s="2">
        <v>10.0</v>
      </c>
      <c r="C205" s="2" t="s">
        <v>65</v>
      </c>
      <c r="D205" s="2" t="s">
        <v>13</v>
      </c>
      <c r="E205" s="2">
        <v>10.0</v>
      </c>
      <c r="F205" s="6">
        <f>IFERROR(__xludf.DUMMYFUNCTION("""COMPUTED_VALUE"""),2.43618269998114)</f>
        <v>2.4361827</v>
      </c>
    </row>
    <row r="206">
      <c r="A206" s="6" t="str">
        <f t="shared" si="2"/>
        <v>P2</v>
      </c>
      <c r="B206" s="2">
        <v>11.0</v>
      </c>
      <c r="C206" s="2" t="s">
        <v>70</v>
      </c>
      <c r="D206" s="2" t="s">
        <v>13</v>
      </c>
      <c r="E206" s="2">
        <v>10.0</v>
      </c>
      <c r="F206" s="6">
        <f>IFERROR(__xludf.DUMMYFUNCTION("""COMPUTED_VALUE"""),2.03781360003631)</f>
        <v>2.0378136</v>
      </c>
    </row>
    <row r="207">
      <c r="A207" s="6" t="str">
        <f t="shared" si="2"/>
        <v>P2</v>
      </c>
      <c r="B207" s="2">
        <v>12.0</v>
      </c>
      <c r="C207" s="2" t="s">
        <v>74</v>
      </c>
      <c r="D207" s="2" t="s">
        <v>13</v>
      </c>
      <c r="E207" s="2">
        <v>10.0</v>
      </c>
      <c r="F207" s="6">
        <f>IFERROR(__xludf.DUMMYFUNCTION("""COMPUTED_VALUE"""),2.25506960006896)</f>
        <v>2.2550696</v>
      </c>
    </row>
    <row r="208">
      <c r="A208" s="6" t="str">
        <f t="shared" si="2"/>
        <v>P2</v>
      </c>
      <c r="B208" s="2">
        <v>13.0</v>
      </c>
      <c r="C208" s="2" t="s">
        <v>79</v>
      </c>
      <c r="D208" s="2" t="s">
        <v>13</v>
      </c>
      <c r="E208" s="2">
        <v>10.0</v>
      </c>
      <c r="F208" s="6">
        <f>IFERROR(__xludf.DUMMYFUNCTION("""COMPUTED_VALUE"""),3.5293485999573)</f>
        <v>3.5293486</v>
      </c>
    </row>
    <row r="209">
      <c r="A209" s="6" t="str">
        <f t="shared" si="2"/>
        <v>P2</v>
      </c>
      <c r="B209" s="2">
        <v>14.0</v>
      </c>
      <c r="C209" s="2" t="s">
        <v>84</v>
      </c>
      <c r="D209" s="2" t="s">
        <v>13</v>
      </c>
      <c r="E209" s="2">
        <v>10.0</v>
      </c>
      <c r="F209" s="6">
        <f>IFERROR(__xludf.DUMMYFUNCTION("""COMPUTED_VALUE"""),1.28862230002414)</f>
        <v>1.2886223</v>
      </c>
    </row>
    <row r="210">
      <c r="A210" s="6" t="str">
        <f t="shared" si="2"/>
        <v>P2</v>
      </c>
      <c r="B210" s="2">
        <v>15.0</v>
      </c>
      <c r="C210" s="2" t="s">
        <v>89</v>
      </c>
      <c r="D210" s="2" t="s">
        <v>13</v>
      </c>
      <c r="E210" s="2">
        <v>10.0</v>
      </c>
      <c r="F210" s="6">
        <f>IFERROR(__xludf.DUMMYFUNCTION("""COMPUTED_VALUE"""),1.61961739999242)</f>
        <v>1.6196174</v>
      </c>
    </row>
    <row r="211">
      <c r="A211" s="6" t="str">
        <f t="shared" si="2"/>
        <v>P2</v>
      </c>
      <c r="B211" s="2">
        <v>16.0</v>
      </c>
      <c r="C211" s="2" t="s">
        <v>94</v>
      </c>
      <c r="D211" s="2" t="s">
        <v>13</v>
      </c>
      <c r="E211" s="2">
        <v>5.0</v>
      </c>
      <c r="F211" s="6">
        <f>IFERROR(__xludf.DUMMYFUNCTION("""COMPUTED_VALUE"""),1.36526910006068)</f>
        <v>1.3652691</v>
      </c>
    </row>
    <row r="212">
      <c r="A212" s="6" t="str">
        <f t="shared" si="2"/>
        <v>P2</v>
      </c>
      <c r="B212" s="2">
        <v>17.0</v>
      </c>
      <c r="C212" s="2" t="s">
        <v>98</v>
      </c>
      <c r="D212" s="2" t="s">
        <v>13</v>
      </c>
      <c r="E212" s="2">
        <v>5.0</v>
      </c>
      <c r="F212" s="6">
        <f>IFERROR(__xludf.DUMMYFUNCTION("""COMPUTED_VALUE"""),1.43249139992985)</f>
        <v>1.4324914</v>
      </c>
    </row>
    <row r="213">
      <c r="A213" s="6" t="str">
        <f t="shared" si="2"/>
        <v>P2</v>
      </c>
      <c r="B213" s="2">
        <v>18.0</v>
      </c>
      <c r="C213" s="2" t="s">
        <v>103</v>
      </c>
      <c r="D213" s="2" t="s">
        <v>13</v>
      </c>
      <c r="E213" s="2">
        <v>10.0</v>
      </c>
      <c r="F213" s="6">
        <f>IFERROR(__xludf.DUMMYFUNCTION("""COMPUTED_VALUE"""),1.83112859993707)</f>
        <v>1.8311286</v>
      </c>
    </row>
    <row r="214">
      <c r="A214" s="6" t="str">
        <f t="shared" si="2"/>
        <v>P2</v>
      </c>
      <c r="B214" s="2">
        <v>19.0</v>
      </c>
      <c r="C214" s="2" t="s">
        <v>108</v>
      </c>
      <c r="D214" s="2" t="s">
        <v>13</v>
      </c>
      <c r="E214" s="2">
        <v>10.0</v>
      </c>
      <c r="F214" s="6">
        <f>IFERROR(__xludf.DUMMYFUNCTION("""COMPUTED_VALUE"""),1.11885000008624)</f>
        <v>1.11885</v>
      </c>
    </row>
    <row r="215">
      <c r="A215" s="6" t="str">
        <f t="shared" si="2"/>
        <v>P2</v>
      </c>
      <c r="B215" s="2">
        <v>20.0</v>
      </c>
      <c r="C215" s="2" t="s">
        <v>113</v>
      </c>
      <c r="D215" s="2" t="s">
        <v>13</v>
      </c>
      <c r="E215" s="2">
        <v>5.0</v>
      </c>
      <c r="F215" s="6">
        <f>IFERROR(__xludf.DUMMYFUNCTION("""COMPUTED_VALUE"""),1.66637660004198)</f>
        <v>1.6663766</v>
      </c>
    </row>
    <row r="216">
      <c r="A216" s="6" t="str">
        <f t="shared" si="2"/>
        <v>P2</v>
      </c>
      <c r="B216" s="2">
        <v>21.0</v>
      </c>
      <c r="C216" s="2" t="s">
        <v>118</v>
      </c>
      <c r="D216" s="2" t="s">
        <v>13</v>
      </c>
      <c r="E216" s="2">
        <v>5.0</v>
      </c>
      <c r="F216" s="6">
        <f>IFERROR(__xludf.DUMMYFUNCTION("""COMPUTED_VALUE"""),2.51511710009071)</f>
        <v>2.5151171</v>
      </c>
    </row>
    <row r="217">
      <c r="A217" s="6" t="str">
        <f t="shared" si="2"/>
        <v>P2</v>
      </c>
      <c r="B217" s="2">
        <v>22.0</v>
      </c>
      <c r="C217" s="2" t="s">
        <v>123</v>
      </c>
      <c r="D217" s="2" t="s">
        <v>13</v>
      </c>
      <c r="E217" s="2">
        <v>10.0</v>
      </c>
      <c r="F217" s="6">
        <f>IFERROR(__xludf.DUMMYFUNCTION("""COMPUTED_VALUE"""),1.55137339991051)</f>
        <v>1.5513734</v>
      </c>
    </row>
    <row r="218">
      <c r="A218" s="6" t="str">
        <f t="shared" si="2"/>
        <v>P2</v>
      </c>
      <c r="B218" s="2">
        <v>23.0</v>
      </c>
      <c r="C218" s="2" t="s">
        <v>127</v>
      </c>
      <c r="D218" s="2" t="s">
        <v>13</v>
      </c>
      <c r="E218" s="2">
        <v>10.0</v>
      </c>
      <c r="F218" s="6">
        <f>IFERROR(__xludf.DUMMYFUNCTION("""COMPUTED_VALUE"""),1.77542159997392)</f>
        <v>1.7754216</v>
      </c>
    </row>
    <row r="219">
      <c r="A219" s="6" t="str">
        <f t="shared" si="2"/>
        <v>P2</v>
      </c>
      <c r="B219" s="2">
        <v>24.0</v>
      </c>
      <c r="C219" s="2" t="s">
        <v>132</v>
      </c>
      <c r="D219" s="2" t="s">
        <v>13</v>
      </c>
      <c r="E219" s="2">
        <v>10.0</v>
      </c>
      <c r="F219" s="6">
        <f>IFERROR(__xludf.DUMMYFUNCTION("""COMPUTED_VALUE"""),2.36832420004066)</f>
        <v>2.3683242</v>
      </c>
    </row>
    <row r="220">
      <c r="A220" s="6" t="str">
        <f t="shared" si="2"/>
        <v>P2</v>
      </c>
      <c r="B220" s="2">
        <v>25.0</v>
      </c>
      <c r="C220" s="2" t="s">
        <v>137</v>
      </c>
      <c r="D220" s="2" t="s">
        <v>13</v>
      </c>
      <c r="E220" s="2">
        <v>10.0</v>
      </c>
      <c r="F220" s="6">
        <f>IFERROR(__xludf.DUMMYFUNCTION("""COMPUTED_VALUE"""),3.01897009997628)</f>
        <v>3.0189701</v>
      </c>
    </row>
    <row r="221">
      <c r="A221" s="6" t="str">
        <f t="shared" si="2"/>
        <v>P2</v>
      </c>
      <c r="B221" s="2">
        <v>26.0</v>
      </c>
      <c r="C221" s="2" t="s">
        <v>142</v>
      </c>
      <c r="D221" s="2" t="s">
        <v>13</v>
      </c>
      <c r="E221" s="2">
        <v>5.0</v>
      </c>
      <c r="F221" s="6">
        <f>IFERROR(__xludf.DUMMYFUNCTION("""COMPUTED_VALUE"""),1.38444950000848)</f>
        <v>1.3844495</v>
      </c>
    </row>
    <row r="222">
      <c r="A222" s="6" t="str">
        <f t="shared" si="2"/>
        <v>P2</v>
      </c>
      <c r="B222" s="2">
        <v>27.0</v>
      </c>
      <c r="C222" s="2" t="s">
        <v>147</v>
      </c>
      <c r="D222" s="2" t="s">
        <v>13</v>
      </c>
      <c r="E222" s="2">
        <v>10.0</v>
      </c>
      <c r="F222" s="6">
        <f>IFERROR(__xludf.DUMMYFUNCTION("""COMPUTED_VALUE"""),1.87050880002789)</f>
        <v>1.8705088</v>
      </c>
    </row>
    <row r="223">
      <c r="A223" s="6" t="str">
        <f t="shared" si="2"/>
        <v>P2</v>
      </c>
      <c r="B223" s="2">
        <v>28.0</v>
      </c>
      <c r="C223" s="2" t="s">
        <v>152</v>
      </c>
      <c r="D223" s="2" t="s">
        <v>13</v>
      </c>
      <c r="E223" s="2">
        <v>5.0</v>
      </c>
      <c r="F223" s="6">
        <f>IFERROR(__xludf.DUMMYFUNCTION("""COMPUTED_VALUE"""),1.71492689999286)</f>
        <v>1.7149269</v>
      </c>
    </row>
    <row r="224">
      <c r="A224" s="6" t="str">
        <f t="shared" si="2"/>
        <v>P2</v>
      </c>
      <c r="B224" s="2">
        <v>29.0</v>
      </c>
      <c r="C224" s="2" t="s">
        <v>157</v>
      </c>
      <c r="D224" s="2" t="s">
        <v>13</v>
      </c>
      <c r="E224" s="2">
        <v>5.0</v>
      </c>
      <c r="F224" s="6">
        <f>IFERROR(__xludf.DUMMYFUNCTION("""COMPUTED_VALUE"""),1.51943179999943)</f>
        <v>1.5194318</v>
      </c>
    </row>
    <row r="225">
      <c r="A225" s="6" t="str">
        <f t="shared" si="2"/>
        <v>P2</v>
      </c>
      <c r="B225" s="2">
        <v>30.0</v>
      </c>
      <c r="C225" s="2" t="s">
        <v>162</v>
      </c>
      <c r="D225" s="2" t="s">
        <v>13</v>
      </c>
      <c r="E225" s="2">
        <v>10.0</v>
      </c>
      <c r="F225" s="6">
        <f>IFERROR(__xludf.DUMMYFUNCTION("""COMPUTED_VALUE"""),1.33502460003364)</f>
        <v>1.3350246</v>
      </c>
    </row>
    <row r="226">
      <c r="A226" s="6" t="str">
        <f t="shared" si="2"/>
        <v>P2</v>
      </c>
      <c r="B226" s="2">
        <v>31.0</v>
      </c>
      <c r="C226" s="2" t="s">
        <v>167</v>
      </c>
      <c r="D226" s="2" t="s">
        <v>13</v>
      </c>
      <c r="E226" s="2">
        <v>10.0</v>
      </c>
      <c r="F226" s="6">
        <f>IFERROR(__xludf.DUMMYFUNCTION("""COMPUTED_VALUE"""),1.07204050000291)</f>
        <v>1.0720405</v>
      </c>
    </row>
    <row r="227">
      <c r="A227" s="6" t="str">
        <f t="shared" si="2"/>
        <v>P2</v>
      </c>
      <c r="B227" s="2">
        <v>32.0</v>
      </c>
      <c r="C227" s="2" t="s">
        <v>172</v>
      </c>
      <c r="D227" s="2" t="s">
        <v>13</v>
      </c>
      <c r="E227" s="2">
        <v>5.0</v>
      </c>
      <c r="F227" s="6">
        <f>IFERROR(__xludf.DUMMYFUNCTION("""COMPUTED_VALUE"""),1.4030501000816)</f>
        <v>1.4030501</v>
      </c>
    </row>
    <row r="228">
      <c r="A228" s="6" t="str">
        <f t="shared" si="2"/>
        <v>P2</v>
      </c>
      <c r="B228" s="2">
        <v>33.0</v>
      </c>
      <c r="C228" s="2" t="s">
        <v>177</v>
      </c>
      <c r="D228" s="2" t="s">
        <v>13</v>
      </c>
      <c r="E228" s="2">
        <v>10.0</v>
      </c>
      <c r="F228" s="6">
        <f>IFERROR(__xludf.DUMMYFUNCTION("""COMPUTED_VALUE"""),1.66944089997559)</f>
        <v>1.6694409</v>
      </c>
    </row>
    <row r="229">
      <c r="A229" s="6" t="str">
        <f t="shared" si="2"/>
        <v>P2</v>
      </c>
      <c r="B229" s="2">
        <v>34.0</v>
      </c>
      <c r="C229" s="2" t="s">
        <v>182</v>
      </c>
      <c r="D229" s="2" t="s">
        <v>13</v>
      </c>
      <c r="E229" s="2">
        <v>10.0</v>
      </c>
      <c r="F229" s="6">
        <f>IFERROR(__xludf.DUMMYFUNCTION("""COMPUTED_VALUE"""),1.27332279994152)</f>
        <v>1.2733228</v>
      </c>
    </row>
    <row r="230">
      <c r="A230" s="6" t="str">
        <f t="shared" si="2"/>
        <v>P2</v>
      </c>
      <c r="B230" s="2">
        <v>35.0</v>
      </c>
      <c r="C230" s="2" t="s">
        <v>187</v>
      </c>
      <c r="D230" s="2" t="s">
        <v>13</v>
      </c>
      <c r="E230" s="2">
        <v>10.0</v>
      </c>
      <c r="F230" s="6">
        <f>IFERROR(__xludf.DUMMYFUNCTION("""COMPUTED_VALUE"""),2.87685950007289)</f>
        <v>2.8768595</v>
      </c>
    </row>
    <row r="231">
      <c r="A231" s="6" t="str">
        <f t="shared" si="2"/>
        <v>P2</v>
      </c>
      <c r="B231" s="2">
        <v>36.0</v>
      </c>
      <c r="C231" s="2" t="s">
        <v>192</v>
      </c>
      <c r="D231" s="2" t="s">
        <v>13</v>
      </c>
      <c r="E231" s="2">
        <v>10.0</v>
      </c>
      <c r="F231" s="6">
        <f>IFERROR(__xludf.DUMMYFUNCTION("""COMPUTED_VALUE"""),3.55352990003302)</f>
        <v>3.5535299</v>
      </c>
    </row>
    <row r="232">
      <c r="A232" s="6" t="str">
        <f t="shared" si="2"/>
        <v>P2</v>
      </c>
      <c r="B232" s="2">
        <v>37.0</v>
      </c>
      <c r="C232" s="2" t="s">
        <v>197</v>
      </c>
      <c r="D232" s="2" t="s">
        <v>13</v>
      </c>
      <c r="E232" s="2">
        <v>10.0</v>
      </c>
      <c r="F232" s="6">
        <f>IFERROR(__xludf.DUMMYFUNCTION("""COMPUTED_VALUE"""),1.30112109996844)</f>
        <v>1.3011211</v>
      </c>
    </row>
    <row r="233">
      <c r="A233" s="6" t="str">
        <f t="shared" si="2"/>
        <v>P2</v>
      </c>
      <c r="B233" s="2">
        <v>38.0</v>
      </c>
      <c r="C233" s="2" t="s">
        <v>202</v>
      </c>
      <c r="D233" s="2" t="s">
        <v>13</v>
      </c>
      <c r="E233" s="2">
        <v>10.0</v>
      </c>
      <c r="F233" s="6">
        <f>IFERROR(__xludf.DUMMYFUNCTION("""COMPUTED_VALUE"""),1.54944269999396)</f>
        <v>1.5494427</v>
      </c>
    </row>
    <row r="234">
      <c r="A234" s="6" t="str">
        <f t="shared" si="2"/>
        <v>P2</v>
      </c>
      <c r="B234" s="2">
        <v>39.0</v>
      </c>
      <c r="C234" s="2" t="s">
        <v>207</v>
      </c>
      <c r="D234" s="2" t="s">
        <v>13</v>
      </c>
      <c r="E234" s="2">
        <v>10.0</v>
      </c>
      <c r="F234" s="6">
        <f>IFERROR(__xludf.DUMMYFUNCTION("""COMPUTED_VALUE"""),2.10534999996889)</f>
        <v>2.10535</v>
      </c>
    </row>
    <row r="235">
      <c r="A235" s="6" t="str">
        <f t="shared" si="2"/>
        <v>P2</v>
      </c>
      <c r="B235" s="2">
        <v>40.0</v>
      </c>
      <c r="C235" s="2" t="s">
        <v>212</v>
      </c>
      <c r="D235" s="2" t="s">
        <v>13</v>
      </c>
      <c r="E235" s="2">
        <v>10.0</v>
      </c>
      <c r="F235" s="6">
        <f>IFERROR(__xludf.DUMMYFUNCTION("""COMPUTED_VALUE"""),1.17343859991524)</f>
        <v>1.1734386</v>
      </c>
    </row>
    <row r="236">
      <c r="A236" s="6" t="str">
        <f t="shared" si="2"/>
        <v>P2</v>
      </c>
      <c r="B236" s="2">
        <v>41.0</v>
      </c>
      <c r="C236" s="2" t="s">
        <v>217</v>
      </c>
      <c r="D236" s="2" t="s">
        <v>13</v>
      </c>
      <c r="E236" s="2">
        <v>5.0</v>
      </c>
      <c r="F236" s="6">
        <f>IFERROR(__xludf.DUMMYFUNCTION("""COMPUTED_VALUE"""),1.93180940009187)</f>
        <v>1.9318094</v>
      </c>
    </row>
    <row r="237">
      <c r="A237" s="6" t="str">
        <f t="shared" si="2"/>
        <v>P2</v>
      </c>
      <c r="B237" s="2">
        <v>42.0</v>
      </c>
      <c r="C237" s="2" t="s">
        <v>222</v>
      </c>
      <c r="D237" s="2" t="s">
        <v>13</v>
      </c>
      <c r="E237" s="2">
        <v>5.0</v>
      </c>
      <c r="F237" s="6">
        <f>IFERROR(__xludf.DUMMYFUNCTION("""COMPUTED_VALUE"""),1.8809987999266)</f>
        <v>1.8809988</v>
      </c>
    </row>
    <row r="238">
      <c r="A238" s="6" t="str">
        <f t="shared" si="2"/>
        <v>P2</v>
      </c>
      <c r="B238" s="2">
        <v>43.0</v>
      </c>
      <c r="C238" s="2" t="s">
        <v>227</v>
      </c>
      <c r="D238" s="2" t="s">
        <v>13</v>
      </c>
      <c r="E238" s="2">
        <v>5.0</v>
      </c>
      <c r="F238" s="6">
        <f>IFERROR(__xludf.DUMMYFUNCTION("""COMPUTED_VALUE"""),1.45108729996718)</f>
        <v>1.4510873</v>
      </c>
    </row>
    <row r="239">
      <c r="A239" s="6" t="str">
        <f t="shared" si="2"/>
        <v>P2</v>
      </c>
      <c r="B239" s="2">
        <v>44.0</v>
      </c>
      <c r="C239" s="2" t="s">
        <v>232</v>
      </c>
      <c r="D239" s="2" t="s">
        <v>13</v>
      </c>
      <c r="E239" s="2">
        <v>10.0</v>
      </c>
      <c r="F239" s="6">
        <f>IFERROR(__xludf.DUMMYFUNCTION("""COMPUTED_VALUE"""),1.57347379997372)</f>
        <v>1.5734738</v>
      </c>
    </row>
    <row r="240">
      <c r="A240" s="6" t="str">
        <f t="shared" si="2"/>
        <v>P2</v>
      </c>
      <c r="B240" s="2">
        <v>45.0</v>
      </c>
      <c r="C240" s="2" t="s">
        <v>237</v>
      </c>
      <c r="D240" s="2" t="s">
        <v>13</v>
      </c>
      <c r="E240" s="2">
        <v>10.0</v>
      </c>
      <c r="F240" s="6">
        <f>IFERROR(__xludf.DUMMYFUNCTION("""COMPUTED_VALUE"""),2.52116430003661)</f>
        <v>2.5211643</v>
      </c>
    </row>
    <row r="241">
      <c r="A241" s="6" t="str">
        <f t="shared" si="2"/>
        <v>P2</v>
      </c>
      <c r="B241" s="2">
        <v>46.0</v>
      </c>
      <c r="C241" s="2" t="s">
        <v>242</v>
      </c>
      <c r="D241" s="2" t="s">
        <v>13</v>
      </c>
      <c r="E241" s="2">
        <v>5.0</v>
      </c>
      <c r="F241" s="6">
        <f>IFERROR(__xludf.DUMMYFUNCTION("""COMPUTED_VALUE"""),1.40650390007067)</f>
        <v>1.4065039</v>
      </c>
    </row>
    <row r="242">
      <c r="A242" s="6" t="str">
        <f t="shared" si="2"/>
        <v>P2</v>
      </c>
      <c r="B242" s="2">
        <v>47.0</v>
      </c>
      <c r="C242" s="2" t="s">
        <v>247</v>
      </c>
      <c r="D242" s="2" t="s">
        <v>13</v>
      </c>
      <c r="E242" s="2">
        <v>5.0</v>
      </c>
      <c r="F242" s="6">
        <f>IFERROR(__xludf.DUMMYFUNCTION("""COMPUTED_VALUE"""),1.19629760005045)</f>
        <v>1.1962976</v>
      </c>
    </row>
    <row r="243">
      <c r="A243" s="6" t="str">
        <f t="shared" si="2"/>
        <v>P2</v>
      </c>
      <c r="B243" s="2">
        <v>48.0</v>
      </c>
      <c r="C243" s="2" t="s">
        <v>252</v>
      </c>
      <c r="D243" s="2" t="s">
        <v>13</v>
      </c>
      <c r="E243" s="2">
        <v>10.0</v>
      </c>
      <c r="F243" s="6">
        <f>IFERROR(__xludf.DUMMYFUNCTION("""COMPUTED_VALUE"""),1.00161949999164)</f>
        <v>1.0016195</v>
      </c>
    </row>
    <row r="244">
      <c r="A244" s="6" t="str">
        <f t="shared" si="2"/>
        <v>P2</v>
      </c>
      <c r="B244" s="2">
        <v>49.0</v>
      </c>
      <c r="C244" s="2" t="s">
        <v>257</v>
      </c>
      <c r="D244" s="2" t="s">
        <v>13</v>
      </c>
      <c r="E244" s="2">
        <v>5.0</v>
      </c>
      <c r="F244" s="6">
        <f>IFERROR(__xludf.DUMMYFUNCTION("""COMPUTED_VALUE"""),1.03050920006353)</f>
        <v>1.0305092</v>
      </c>
    </row>
    <row r="245">
      <c r="A245" s="6" t="str">
        <f t="shared" si="2"/>
        <v>P2</v>
      </c>
      <c r="B245" s="2">
        <v>50.0</v>
      </c>
      <c r="C245" s="2" t="s">
        <v>262</v>
      </c>
      <c r="D245" s="2" t="s">
        <v>13</v>
      </c>
      <c r="E245" s="2">
        <v>10.0</v>
      </c>
      <c r="F245" s="6">
        <f>IFERROR(__xludf.DUMMYFUNCTION("""COMPUTED_VALUE"""),1.41950680001173)</f>
        <v>1.4195068</v>
      </c>
    </row>
    <row r="246">
      <c r="A246" s="6" t="str">
        <f t="shared" si="2"/>
        <v>P2</v>
      </c>
      <c r="B246" s="2">
        <v>51.0</v>
      </c>
      <c r="C246" s="2" t="s">
        <v>267</v>
      </c>
      <c r="D246" s="2" t="s">
        <v>13</v>
      </c>
      <c r="E246" s="2">
        <v>10.0</v>
      </c>
      <c r="F246" s="6">
        <f>IFERROR(__xludf.DUMMYFUNCTION("""COMPUTED_VALUE"""),1.41804849996697)</f>
        <v>1.4180485</v>
      </c>
    </row>
    <row r="247">
      <c r="A247" s="6" t="str">
        <f t="shared" si="2"/>
        <v>P2</v>
      </c>
      <c r="B247" s="2">
        <v>52.0</v>
      </c>
      <c r="C247" s="2" t="s">
        <v>272</v>
      </c>
      <c r="D247" s="2" t="s">
        <v>13</v>
      </c>
      <c r="E247" s="2">
        <v>10.0</v>
      </c>
      <c r="F247" s="6">
        <f>IFERROR(__xludf.DUMMYFUNCTION("""COMPUTED_VALUE"""),1.3703569000354)</f>
        <v>1.3703569</v>
      </c>
    </row>
    <row r="248">
      <c r="A248" s="6" t="str">
        <f t="shared" si="2"/>
        <v>P2</v>
      </c>
      <c r="B248" s="2">
        <v>53.0</v>
      </c>
      <c r="C248" s="2" t="s">
        <v>277</v>
      </c>
      <c r="D248" s="2" t="s">
        <v>13</v>
      </c>
      <c r="E248" s="2">
        <v>10.0</v>
      </c>
      <c r="F248" s="6">
        <f>IFERROR(__xludf.DUMMYFUNCTION("""COMPUTED_VALUE"""),1.73459170002024)</f>
        <v>1.7345917</v>
      </c>
    </row>
    <row r="249">
      <c r="A249" s="6" t="str">
        <f t="shared" si="2"/>
        <v>P2</v>
      </c>
      <c r="B249" s="2">
        <v>54.0</v>
      </c>
      <c r="C249" s="2" t="s">
        <v>282</v>
      </c>
      <c r="D249" s="2" t="s">
        <v>13</v>
      </c>
      <c r="E249" s="2">
        <v>10.0</v>
      </c>
      <c r="F249" s="6">
        <f>IFERROR(__xludf.DUMMYFUNCTION("""COMPUTED_VALUE"""),1.42050929996185)</f>
        <v>1.4205093</v>
      </c>
    </row>
    <row r="250">
      <c r="A250" s="6" t="str">
        <f t="shared" si="2"/>
        <v>P2</v>
      </c>
      <c r="B250" s="2">
        <v>55.0</v>
      </c>
      <c r="C250" s="2" t="s">
        <v>287</v>
      </c>
      <c r="D250" s="2" t="s">
        <v>13</v>
      </c>
      <c r="E250" s="2">
        <v>5.0</v>
      </c>
      <c r="F250" s="6">
        <f>IFERROR(__xludf.DUMMYFUNCTION("""COMPUTED_VALUE"""),1.1615627000574)</f>
        <v>1.1615627</v>
      </c>
    </row>
    <row r="251">
      <c r="A251" s="6" t="str">
        <f t="shared" si="2"/>
        <v>P2</v>
      </c>
      <c r="B251" s="2">
        <v>56.0</v>
      </c>
      <c r="C251" s="2" t="s">
        <v>292</v>
      </c>
      <c r="D251" s="2" t="s">
        <v>13</v>
      </c>
      <c r="E251" s="2">
        <v>5.0</v>
      </c>
      <c r="F251" s="6">
        <f>IFERROR(__xludf.DUMMYFUNCTION("""COMPUTED_VALUE"""),1.31847910000942)</f>
        <v>1.3184791</v>
      </c>
    </row>
    <row r="252">
      <c r="A252" s="6" t="str">
        <f t="shared" si="2"/>
        <v>P2</v>
      </c>
      <c r="B252" s="2">
        <v>57.0</v>
      </c>
      <c r="C252" s="2" t="s">
        <v>297</v>
      </c>
      <c r="D252" s="2" t="s">
        <v>13</v>
      </c>
      <c r="E252" s="2">
        <v>5.0</v>
      </c>
      <c r="F252" s="6">
        <f>IFERROR(__xludf.DUMMYFUNCTION("""COMPUTED_VALUE"""),1.23434040008578)</f>
        <v>1.2343404</v>
      </c>
    </row>
    <row r="253">
      <c r="A253" s="6" t="str">
        <f t="shared" si="2"/>
        <v>P2</v>
      </c>
      <c r="B253" s="2">
        <v>58.0</v>
      </c>
      <c r="C253" s="2" t="s">
        <v>302</v>
      </c>
      <c r="D253" s="2" t="s">
        <v>13</v>
      </c>
      <c r="E253" s="2">
        <v>10.0</v>
      </c>
      <c r="F253" s="6">
        <f>IFERROR(__xludf.DUMMYFUNCTION("""COMPUTED_VALUE"""),1.18599259993061)</f>
        <v>1.1859926</v>
      </c>
    </row>
    <row r="254">
      <c r="A254" s="6" t="str">
        <f t="shared" si="2"/>
        <v>P2</v>
      </c>
      <c r="B254" s="2">
        <v>59.0</v>
      </c>
      <c r="C254" s="2" t="s">
        <v>307</v>
      </c>
      <c r="D254" s="2" t="s">
        <v>13</v>
      </c>
      <c r="E254" s="2">
        <v>5.0</v>
      </c>
      <c r="F254" s="6">
        <f>IFERROR(__xludf.DUMMYFUNCTION("""COMPUTED_VALUE"""),1.02950920001603)</f>
        <v>1.0295092</v>
      </c>
    </row>
    <row r="255">
      <c r="A255" s="6" t="str">
        <f t="shared" si="2"/>
        <v>P2</v>
      </c>
      <c r="B255" s="2">
        <v>60.0</v>
      </c>
      <c r="C255" s="2" t="s">
        <v>312</v>
      </c>
      <c r="D255" s="2" t="s">
        <v>13</v>
      </c>
      <c r="E255" s="2">
        <v>5.0</v>
      </c>
      <c r="F255" s="6">
        <f>IFERROR(__xludf.DUMMYFUNCTION("""COMPUTED_VALUE"""),1.11499799997545)</f>
        <v>1.114998</v>
      </c>
    </row>
    <row r="256">
      <c r="A256" s="6" t="str">
        <f t="shared" si="2"/>
        <v>P2</v>
      </c>
      <c r="B256" s="2">
        <v>61.0</v>
      </c>
      <c r="C256" s="2" t="s">
        <v>317</v>
      </c>
      <c r="D256" s="2" t="s">
        <v>13</v>
      </c>
      <c r="E256" s="2">
        <v>10.0</v>
      </c>
      <c r="F256" s="6">
        <f>IFERROR(__xludf.DUMMYFUNCTION("""COMPUTED_VALUE"""),1.03728749998845)</f>
        <v>1.0372875</v>
      </c>
    </row>
    <row r="257">
      <c r="A257" s="6" t="str">
        <f t="shared" si="2"/>
        <v>P2</v>
      </c>
      <c r="B257" s="2">
        <v>62.0</v>
      </c>
      <c r="C257" s="2" t="s">
        <v>322</v>
      </c>
      <c r="D257" s="2" t="s">
        <v>13</v>
      </c>
      <c r="E257" s="2">
        <v>5.0</v>
      </c>
      <c r="F257" s="6">
        <f>IFERROR(__xludf.DUMMYFUNCTION("""COMPUTED_VALUE"""),1.19827579997945)</f>
        <v>1.1982758</v>
      </c>
    </row>
    <row r="258">
      <c r="A258" s="6" t="str">
        <f t="shared" si="2"/>
        <v>P2</v>
      </c>
      <c r="B258" s="2">
        <v>63.0</v>
      </c>
      <c r="C258" s="2" t="s">
        <v>327</v>
      </c>
      <c r="D258" s="2" t="s">
        <v>13</v>
      </c>
      <c r="E258" s="2">
        <v>10.0</v>
      </c>
      <c r="F258" s="6">
        <f>IFERROR(__xludf.DUMMYFUNCTION("""COMPUTED_VALUE"""),1.63636829995084)</f>
        <v>1.6363683</v>
      </c>
    </row>
    <row r="259">
      <c r="A259" s="6" t="str">
        <f t="shared" si="2"/>
        <v>P2</v>
      </c>
      <c r="B259" s="2">
        <v>64.0</v>
      </c>
      <c r="C259" s="2" t="s">
        <v>332</v>
      </c>
      <c r="D259" s="2" t="s">
        <v>13</v>
      </c>
      <c r="E259" s="2">
        <v>5.0</v>
      </c>
      <c r="F259" s="6">
        <f>IFERROR(__xludf.DUMMYFUNCTION("""COMPUTED_VALUE"""),1.1474568999838)</f>
        <v>1.1474569</v>
      </c>
    </row>
    <row r="260">
      <c r="A260" s="6" t="str">
        <f t="shared" si="2"/>
        <v>P2</v>
      </c>
      <c r="B260" s="2">
        <v>65.0</v>
      </c>
      <c r="C260" s="2" t="s">
        <v>337</v>
      </c>
      <c r="D260" s="2" t="s">
        <v>13</v>
      </c>
      <c r="E260" s="2">
        <v>10.0</v>
      </c>
      <c r="F260" s="6">
        <f>IFERROR(__xludf.DUMMYFUNCTION("""COMPUTED_VALUE"""),1.37135279993526)</f>
        <v>1.3713528</v>
      </c>
    </row>
    <row r="261">
      <c r="A261" s="6" t="str">
        <f t="shared" si="2"/>
        <v>P2</v>
      </c>
      <c r="B261" s="2">
        <v>66.0</v>
      </c>
      <c r="C261" s="2" t="s">
        <v>342</v>
      </c>
      <c r="D261" s="2" t="s">
        <v>13</v>
      </c>
      <c r="E261" s="2">
        <v>10.0</v>
      </c>
      <c r="F261" s="6">
        <f>IFERROR(__xludf.DUMMYFUNCTION("""COMPUTED_VALUE"""),1.83955589996185)</f>
        <v>1.8395559</v>
      </c>
    </row>
    <row r="262">
      <c r="A262" s="6" t="str">
        <f t="shared" si="2"/>
        <v>P2</v>
      </c>
      <c r="B262" s="2">
        <v>67.0</v>
      </c>
      <c r="C262" s="2" t="s">
        <v>347</v>
      </c>
      <c r="D262" s="2" t="s">
        <v>13</v>
      </c>
      <c r="E262" s="2">
        <v>10.0</v>
      </c>
      <c r="F262" s="6">
        <f>IFERROR(__xludf.DUMMYFUNCTION("""COMPUTED_VALUE"""),1.54070559993851)</f>
        <v>1.5407056</v>
      </c>
    </row>
    <row r="263">
      <c r="A263" s="6" t="str">
        <f t="shared" si="2"/>
        <v>P2</v>
      </c>
      <c r="B263" s="2">
        <v>68.0</v>
      </c>
      <c r="C263" s="2" t="s">
        <v>352</v>
      </c>
      <c r="D263" s="2" t="s">
        <v>13</v>
      </c>
      <c r="E263" s="2">
        <v>5.0</v>
      </c>
      <c r="F263" s="6">
        <f>IFERROR(__xludf.DUMMYFUNCTION("""COMPUTED_VALUE"""),1.32265520002692)</f>
        <v>1.3226552</v>
      </c>
    </row>
    <row r="264">
      <c r="A264" s="6" t="str">
        <f t="shared" si="2"/>
        <v>P2</v>
      </c>
      <c r="B264" s="2">
        <v>69.0</v>
      </c>
      <c r="C264" s="2" t="s">
        <v>357</v>
      </c>
      <c r="D264" s="2" t="s">
        <v>13</v>
      </c>
      <c r="E264" s="2">
        <v>10.0</v>
      </c>
      <c r="F264" s="6">
        <f>IFERROR(__xludf.DUMMYFUNCTION("""COMPUTED_VALUE"""),1.20481569995172)</f>
        <v>1.2048157</v>
      </c>
    </row>
    <row r="265">
      <c r="A265" s="6" t="str">
        <f t="shared" si="2"/>
        <v>P2</v>
      </c>
      <c r="B265" s="2">
        <v>70.0</v>
      </c>
      <c r="C265" s="2" t="s">
        <v>362</v>
      </c>
      <c r="D265" s="2" t="s">
        <v>13</v>
      </c>
      <c r="E265" s="2">
        <v>10.0</v>
      </c>
      <c r="F265" s="6">
        <f>IFERROR(__xludf.DUMMYFUNCTION("""COMPUTED_VALUE"""),1.53340079996269)</f>
        <v>1.5334008</v>
      </c>
    </row>
    <row r="266">
      <c r="A266" s="6" t="str">
        <f t="shared" si="2"/>
        <v>P2</v>
      </c>
      <c r="B266" s="2">
        <v>71.0</v>
      </c>
      <c r="C266" s="2" t="s">
        <v>367</v>
      </c>
      <c r="D266" s="2" t="s">
        <v>13</v>
      </c>
      <c r="E266" s="2">
        <v>5.0</v>
      </c>
      <c r="F266" s="6">
        <f>IFERROR(__xludf.DUMMYFUNCTION("""COMPUTED_VALUE"""),1.23670730006415)</f>
        <v>1.2367073</v>
      </c>
    </row>
    <row r="267">
      <c r="A267" s="6" t="str">
        <f t="shared" si="2"/>
        <v>P2</v>
      </c>
      <c r="B267" s="2">
        <v>72.0</v>
      </c>
      <c r="C267" s="2" t="s">
        <v>372</v>
      </c>
      <c r="D267" s="2" t="s">
        <v>13</v>
      </c>
      <c r="E267" s="2">
        <v>5.0</v>
      </c>
      <c r="F267" s="6">
        <f>IFERROR(__xludf.DUMMYFUNCTION("""COMPUTED_VALUE"""),0.894984300015494)</f>
        <v>0.8949843</v>
      </c>
    </row>
    <row r="268">
      <c r="A268" s="6" t="str">
        <f t="shared" si="2"/>
        <v>P2</v>
      </c>
      <c r="B268" s="2">
        <v>73.0</v>
      </c>
      <c r="C268" s="2" t="s">
        <v>377</v>
      </c>
      <c r="D268" s="2" t="s">
        <v>13</v>
      </c>
      <c r="E268" s="2">
        <v>10.0</v>
      </c>
      <c r="F268" s="6">
        <f>IFERROR(__xludf.DUMMYFUNCTION("""COMPUTED_VALUE"""),2.16052979999221)</f>
        <v>2.1605298</v>
      </c>
    </row>
    <row r="269">
      <c r="A269" s="6" t="str">
        <f t="shared" si="2"/>
        <v>P2</v>
      </c>
      <c r="B269" s="2">
        <v>74.0</v>
      </c>
      <c r="C269" s="2" t="s">
        <v>381</v>
      </c>
      <c r="D269" s="2" t="s">
        <v>13</v>
      </c>
      <c r="E269" s="2">
        <v>10.0</v>
      </c>
      <c r="F269" s="6">
        <f>IFERROR(__xludf.DUMMYFUNCTION("""COMPUTED_VALUE"""),1.25647049990948)</f>
        <v>1.2564705</v>
      </c>
    </row>
    <row r="270">
      <c r="A270" s="6" t="str">
        <f t="shared" si="2"/>
        <v>P2</v>
      </c>
      <c r="B270" s="2">
        <v>75.0</v>
      </c>
      <c r="C270" s="2" t="s">
        <v>386</v>
      </c>
      <c r="D270" s="2" t="s">
        <v>13</v>
      </c>
      <c r="E270" s="2">
        <v>5.0</v>
      </c>
      <c r="F270" s="6">
        <f>IFERROR(__xludf.DUMMYFUNCTION("""COMPUTED_VALUE"""),1.63508519995957)</f>
        <v>1.6350852</v>
      </c>
    </row>
    <row r="271">
      <c r="A271" s="6" t="str">
        <f t="shared" si="2"/>
        <v>P2</v>
      </c>
      <c r="B271" s="2">
        <v>76.0</v>
      </c>
      <c r="C271" s="2" t="s">
        <v>391</v>
      </c>
      <c r="D271" s="2" t="s">
        <v>13</v>
      </c>
      <c r="E271" s="2">
        <v>10.0</v>
      </c>
      <c r="F271" s="6">
        <f>IFERROR(__xludf.DUMMYFUNCTION("""COMPUTED_VALUE"""),1.05551089998334)</f>
        <v>1.0555109</v>
      </c>
    </row>
    <row r="272">
      <c r="A272" s="6" t="str">
        <f t="shared" si="2"/>
        <v>P2</v>
      </c>
      <c r="B272" s="2">
        <v>77.0</v>
      </c>
      <c r="C272" s="2" t="s">
        <v>396</v>
      </c>
      <c r="D272" s="2" t="s">
        <v>13</v>
      </c>
      <c r="E272" s="2">
        <v>5.0</v>
      </c>
      <c r="F272" s="6">
        <f>IFERROR(__xludf.DUMMYFUNCTION("""COMPUTED_VALUE"""),1.39792090002447)</f>
        <v>1.3979209</v>
      </c>
    </row>
    <row r="273">
      <c r="A273" s="6" t="str">
        <f t="shared" si="2"/>
        <v>P2</v>
      </c>
      <c r="B273" s="2">
        <v>78.0</v>
      </c>
      <c r="C273" s="2" t="s">
        <v>401</v>
      </c>
      <c r="D273" s="2" t="s">
        <v>13</v>
      </c>
      <c r="E273" s="2">
        <v>10.0</v>
      </c>
      <c r="F273" s="6">
        <f>IFERROR(__xludf.DUMMYFUNCTION("""COMPUTED_VALUE"""),1.73459210002329)</f>
        <v>1.7345921</v>
      </c>
    </row>
    <row r="274">
      <c r="A274" s="6" t="str">
        <f t="shared" si="2"/>
        <v>P2</v>
      </c>
      <c r="B274" s="2">
        <v>79.0</v>
      </c>
      <c r="C274" s="2" t="s">
        <v>406</v>
      </c>
      <c r="D274" s="2" t="s">
        <v>13</v>
      </c>
      <c r="E274" s="2">
        <v>5.0</v>
      </c>
      <c r="F274" s="6">
        <f>IFERROR(__xludf.DUMMYFUNCTION("""COMPUTED_VALUE"""),2.4006839999929)</f>
        <v>2.400684</v>
      </c>
    </row>
    <row r="275">
      <c r="A275" s="6" t="str">
        <f t="shared" si="2"/>
        <v>P2</v>
      </c>
      <c r="B275" s="2">
        <v>80.0</v>
      </c>
      <c r="C275" s="2" t="s">
        <v>411</v>
      </c>
      <c r="D275" s="2" t="s">
        <v>13</v>
      </c>
      <c r="E275" s="2">
        <v>5.0</v>
      </c>
      <c r="F275" s="6">
        <f>IFERROR(__xludf.DUMMYFUNCTION("""COMPUTED_VALUE"""),1.08325389993842)</f>
        <v>1.0832539</v>
      </c>
    </row>
    <row r="276">
      <c r="A276" s="6" t="str">
        <f t="shared" si="2"/>
        <v>P2</v>
      </c>
      <c r="B276" s="2">
        <v>81.0</v>
      </c>
      <c r="C276" s="2" t="s">
        <v>416</v>
      </c>
      <c r="D276" s="2" t="s">
        <v>13</v>
      </c>
      <c r="E276" s="2">
        <v>10.0</v>
      </c>
      <c r="F276" s="6">
        <f>IFERROR(__xludf.DUMMYFUNCTION("""COMPUTED_VALUE"""),1.25296930002514)</f>
        <v>1.2529693</v>
      </c>
    </row>
    <row r="277">
      <c r="A277" s="6" t="str">
        <f t="shared" si="2"/>
        <v>P2</v>
      </c>
      <c r="B277" s="2">
        <v>82.0</v>
      </c>
      <c r="C277" s="2" t="s">
        <v>421</v>
      </c>
      <c r="D277" s="2" t="s">
        <v>13</v>
      </c>
      <c r="E277" s="2">
        <v>5.0</v>
      </c>
      <c r="F277" s="6">
        <f>IFERROR(__xludf.DUMMYFUNCTION("""COMPUTED_VALUE"""),1.11424610007088)</f>
        <v>1.1142461</v>
      </c>
    </row>
    <row r="278">
      <c r="A278" s="6" t="str">
        <f t="shared" si="2"/>
        <v>P2</v>
      </c>
      <c r="B278" s="2">
        <v>83.0</v>
      </c>
      <c r="C278" s="2" t="s">
        <v>425</v>
      </c>
      <c r="D278" s="2" t="s">
        <v>13</v>
      </c>
      <c r="E278" s="2">
        <v>5.0</v>
      </c>
      <c r="F278" s="6">
        <f>IFERROR(__xludf.DUMMYFUNCTION("""COMPUTED_VALUE"""),1.06935120001435)</f>
        <v>1.0693512</v>
      </c>
    </row>
    <row r="279">
      <c r="A279" s="6" t="str">
        <f t="shared" si="2"/>
        <v>P2</v>
      </c>
      <c r="B279" s="2">
        <v>84.0</v>
      </c>
      <c r="C279" s="2" t="s">
        <v>430</v>
      </c>
      <c r="D279" s="2" t="s">
        <v>13</v>
      </c>
      <c r="E279" s="2">
        <v>5.0</v>
      </c>
      <c r="F279" s="6">
        <f>IFERROR(__xludf.DUMMYFUNCTION("""COMPUTED_VALUE"""),1.09438129991758)</f>
        <v>1.0943813</v>
      </c>
    </row>
    <row r="280">
      <c r="A280" s="6" t="str">
        <f t="shared" si="2"/>
        <v>P2</v>
      </c>
      <c r="B280" s="2">
        <v>85.0</v>
      </c>
      <c r="C280" s="2" t="s">
        <v>435</v>
      </c>
      <c r="D280" s="2" t="s">
        <v>13</v>
      </c>
      <c r="E280" s="2">
        <v>10.0</v>
      </c>
      <c r="F280" s="6">
        <f>IFERROR(__xludf.DUMMYFUNCTION("""COMPUTED_VALUE"""),2.485899399966)</f>
        <v>2.4858994</v>
      </c>
    </row>
    <row r="281">
      <c r="A281" s="6" t="str">
        <f t="shared" si="2"/>
        <v>P2</v>
      </c>
      <c r="B281" s="2">
        <v>86.0</v>
      </c>
      <c r="C281" s="2" t="s">
        <v>440</v>
      </c>
      <c r="D281" s="2" t="s">
        <v>13</v>
      </c>
      <c r="E281" s="2">
        <v>10.0</v>
      </c>
      <c r="F281" s="6">
        <f>IFERROR(__xludf.DUMMYFUNCTION("""COMPUTED_VALUE"""),1.18499620002694)</f>
        <v>1.1849962</v>
      </c>
    </row>
    <row r="282">
      <c r="A282" s="6" t="str">
        <f t="shared" si="2"/>
        <v>P2</v>
      </c>
      <c r="B282" s="2">
        <v>87.0</v>
      </c>
      <c r="C282" s="2" t="s">
        <v>445</v>
      </c>
      <c r="D282" s="2" t="s">
        <v>13</v>
      </c>
      <c r="E282" s="2">
        <v>5.0</v>
      </c>
      <c r="F282" s="6">
        <f>IFERROR(__xludf.DUMMYFUNCTION("""COMPUTED_VALUE"""),1.21929999999701)</f>
        <v>1.2193</v>
      </c>
    </row>
    <row r="283">
      <c r="A283" s="6" t="str">
        <f t="shared" si="2"/>
        <v>P2</v>
      </c>
      <c r="B283" s="2">
        <v>88.0</v>
      </c>
      <c r="C283" s="2" t="s">
        <v>450</v>
      </c>
      <c r="D283" s="2" t="s">
        <v>13</v>
      </c>
      <c r="E283" s="2">
        <v>5.0</v>
      </c>
      <c r="F283" s="6">
        <f>IFERROR(__xludf.DUMMYFUNCTION("""COMPUTED_VALUE"""),1.16685659997165)</f>
        <v>1.1668566</v>
      </c>
    </row>
    <row r="284">
      <c r="A284" s="6" t="str">
        <f t="shared" si="2"/>
        <v>P2</v>
      </c>
      <c r="B284" s="2">
        <v>89.0</v>
      </c>
      <c r="C284" s="2" t="s">
        <v>455</v>
      </c>
      <c r="D284" s="2" t="s">
        <v>13</v>
      </c>
      <c r="E284" s="2">
        <v>5.0</v>
      </c>
      <c r="F284" s="6">
        <f>IFERROR(__xludf.DUMMYFUNCTION("""COMPUTED_VALUE"""),1.01687629998195)</f>
        <v>1.0168763</v>
      </c>
    </row>
    <row r="285">
      <c r="A285" s="6" t="str">
        <f t="shared" si="2"/>
        <v>P2</v>
      </c>
      <c r="B285" s="2">
        <v>90.0</v>
      </c>
      <c r="C285" s="2" t="s">
        <v>460</v>
      </c>
      <c r="D285" s="2" t="s">
        <v>13</v>
      </c>
      <c r="E285" s="2">
        <v>10.0</v>
      </c>
      <c r="F285" s="6">
        <f>IFERROR(__xludf.DUMMYFUNCTION("""COMPUTED_VALUE"""),1.73594109993428)</f>
        <v>1.7359411</v>
      </c>
    </row>
    <row r="286">
      <c r="A286" s="6" t="str">
        <f t="shared" si="2"/>
        <v>P2</v>
      </c>
      <c r="B286" s="2">
        <v>91.0</v>
      </c>
      <c r="C286" s="2" t="s">
        <v>465</v>
      </c>
      <c r="D286" s="2" t="s">
        <v>13</v>
      </c>
      <c r="E286" s="2">
        <v>5.0</v>
      </c>
      <c r="F286" s="6">
        <f>IFERROR(__xludf.DUMMYFUNCTION("""COMPUTED_VALUE"""),3.00191879994235)</f>
        <v>3.0019188</v>
      </c>
    </row>
    <row r="287">
      <c r="A287" s="6" t="str">
        <f t="shared" si="2"/>
        <v>P2</v>
      </c>
      <c r="B287" s="2">
        <v>92.0</v>
      </c>
      <c r="C287" s="2" t="s">
        <v>470</v>
      </c>
      <c r="D287" s="2" t="s">
        <v>13</v>
      </c>
      <c r="E287" s="2">
        <v>10.0</v>
      </c>
      <c r="F287" s="6">
        <f>IFERROR(__xludf.DUMMYFUNCTION("""COMPUTED_VALUE"""),1.53959619998931)</f>
        <v>1.5395962</v>
      </c>
    </row>
    <row r="288">
      <c r="A288" s="6" t="str">
        <f t="shared" si="2"/>
        <v>P2</v>
      </c>
      <c r="B288" s="2">
        <v>93.0</v>
      </c>
      <c r="C288" s="2" t="s">
        <v>475</v>
      </c>
      <c r="D288" s="2" t="s">
        <v>13</v>
      </c>
      <c r="E288" s="2">
        <v>5.0</v>
      </c>
      <c r="F288" s="6">
        <f>IFERROR(__xludf.DUMMYFUNCTION("""COMPUTED_VALUE"""),1.59859109995886)</f>
        <v>1.5985911</v>
      </c>
    </row>
    <row r="289">
      <c r="A289" s="6" t="str">
        <f t="shared" si="2"/>
        <v>P2</v>
      </c>
      <c r="B289" s="2">
        <v>94.0</v>
      </c>
      <c r="C289" s="2" t="s">
        <v>480</v>
      </c>
      <c r="D289" s="2" t="s">
        <v>13</v>
      </c>
      <c r="E289" s="2">
        <v>10.0</v>
      </c>
      <c r="F289" s="6">
        <f>IFERROR(__xludf.DUMMYFUNCTION("""COMPUTED_VALUE"""),1.16976819990668)</f>
        <v>1.1697682</v>
      </c>
    </row>
    <row r="290">
      <c r="A290" s="6" t="str">
        <f t="shared" si="2"/>
        <v>P2</v>
      </c>
      <c r="B290" s="2">
        <v>95.0</v>
      </c>
      <c r="C290" s="2" t="s">
        <v>485</v>
      </c>
      <c r="D290" s="2" t="s">
        <v>13</v>
      </c>
      <c r="E290" s="2">
        <v>5.0</v>
      </c>
      <c r="F290" s="6">
        <f>IFERROR(__xludf.DUMMYFUNCTION("""COMPUTED_VALUE"""),1.84907789994031)</f>
        <v>1.8490779</v>
      </c>
    </row>
    <row r="291">
      <c r="A291" s="6" t="str">
        <f t="shared" si="2"/>
        <v>P2</v>
      </c>
      <c r="B291" s="2">
        <v>96.0</v>
      </c>
      <c r="C291" s="2" t="s">
        <v>490</v>
      </c>
      <c r="D291" s="2" t="s">
        <v>13</v>
      </c>
      <c r="E291" s="2">
        <v>10.0</v>
      </c>
      <c r="F291" s="6">
        <f>IFERROR(__xludf.DUMMYFUNCTION("""COMPUTED_VALUE"""),1.76681350008584)</f>
        <v>1.7668135</v>
      </c>
    </row>
    <row r="292">
      <c r="A292" s="6" t="str">
        <f t="shared" si="2"/>
        <v>P2</v>
      </c>
      <c r="B292" s="2">
        <v>97.0</v>
      </c>
      <c r="C292" s="2" t="s">
        <v>495</v>
      </c>
      <c r="D292" s="2" t="s">
        <v>13</v>
      </c>
      <c r="E292" s="2">
        <v>5.0</v>
      </c>
      <c r="F292" s="6">
        <f>IFERROR(__xludf.DUMMYFUNCTION("""COMPUTED_VALUE"""),1.8480239000637)</f>
        <v>1.8480239</v>
      </c>
    </row>
    <row r="293">
      <c r="A293" s="6" t="str">
        <f t="shared" si="2"/>
        <v>P2</v>
      </c>
      <c r="B293" s="2">
        <v>98.0</v>
      </c>
      <c r="C293" s="2" t="s">
        <v>500</v>
      </c>
      <c r="D293" s="2" t="s">
        <v>13</v>
      </c>
      <c r="E293" s="2">
        <v>10.0</v>
      </c>
      <c r="F293" s="6">
        <f>IFERROR(__xludf.DUMMYFUNCTION("""COMPUTED_VALUE"""),1.88795949995983)</f>
        <v>1.8879595</v>
      </c>
    </row>
    <row r="294">
      <c r="A294" s="6" t="str">
        <f t="shared" si="2"/>
        <v>P2</v>
      </c>
      <c r="B294" s="2">
        <v>99.0</v>
      </c>
      <c r="C294" s="2" t="s">
        <v>504</v>
      </c>
      <c r="D294" s="2" t="s">
        <v>13</v>
      </c>
      <c r="E294" s="2">
        <v>10.0</v>
      </c>
      <c r="F294" s="6">
        <f>IFERROR(__xludf.DUMMYFUNCTION("""COMPUTED_VALUE"""),1.90421399998012)</f>
        <v>1.904214</v>
      </c>
    </row>
    <row r="295">
      <c r="A295" s="6" t="str">
        <f t="shared" si="2"/>
        <v>P2</v>
      </c>
      <c r="B295" s="2">
        <v>100.0</v>
      </c>
      <c r="C295" s="2" t="s">
        <v>509</v>
      </c>
      <c r="D295" s="2" t="s">
        <v>13</v>
      </c>
      <c r="E295" s="2">
        <v>10.0</v>
      </c>
      <c r="F295" s="6">
        <f>IFERROR(__xludf.DUMMYFUNCTION("""COMPUTED_VALUE"""),2.25892389996442)</f>
        <v>2.2589239</v>
      </c>
    </row>
    <row r="296">
      <c r="A296" s="6" t="str">
        <f t="shared" si="2"/>
        <v>P2</v>
      </c>
      <c r="B296" s="2">
        <v>101.0</v>
      </c>
      <c r="C296" s="2" t="s">
        <v>513</v>
      </c>
      <c r="D296" s="2" t="s">
        <v>13</v>
      </c>
      <c r="E296" s="2">
        <v>5.0</v>
      </c>
      <c r="F296" s="6">
        <f>IFERROR(__xludf.DUMMYFUNCTION("""COMPUTED_VALUE"""),1.53503370005637)</f>
        <v>1.5350337</v>
      </c>
    </row>
    <row r="297">
      <c r="A297" s="6" t="str">
        <f t="shared" si="2"/>
        <v>P2</v>
      </c>
      <c r="B297" s="2">
        <v>102.0</v>
      </c>
      <c r="C297" s="2" t="s">
        <v>518</v>
      </c>
      <c r="D297" s="2" t="s">
        <v>13</v>
      </c>
      <c r="E297" s="2">
        <v>10.0</v>
      </c>
      <c r="F297" s="6">
        <f>IFERROR(__xludf.DUMMYFUNCTION("""COMPUTED_VALUE"""),1.73662990005686)</f>
        <v>1.7366299</v>
      </c>
    </row>
    <row r="298">
      <c r="A298" s="6" t="str">
        <f t="shared" si="2"/>
        <v>P2</v>
      </c>
      <c r="B298" s="2">
        <v>103.0</v>
      </c>
      <c r="C298" s="2" t="s">
        <v>523</v>
      </c>
      <c r="D298" s="2" t="s">
        <v>13</v>
      </c>
      <c r="E298" s="2">
        <v>10.0</v>
      </c>
      <c r="F298" s="6">
        <f>IFERROR(__xludf.DUMMYFUNCTION("""COMPUTED_VALUE"""),1.27259449998382)</f>
        <v>1.2725945</v>
      </c>
    </row>
    <row r="299">
      <c r="A299" s="6" t="str">
        <f t="shared" si="2"/>
        <v>P2</v>
      </c>
      <c r="B299" s="2">
        <v>104.0</v>
      </c>
      <c r="C299" s="2" t="s">
        <v>528</v>
      </c>
      <c r="D299" s="2" t="s">
        <v>13</v>
      </c>
      <c r="E299" s="2">
        <v>10.0</v>
      </c>
      <c r="F299" s="6">
        <f>IFERROR(__xludf.DUMMYFUNCTION("""COMPUTED_VALUE"""),1.30569629999808)</f>
        <v>1.3056963</v>
      </c>
    </row>
    <row r="300">
      <c r="A300" s="6" t="str">
        <f t="shared" si="2"/>
        <v>P2</v>
      </c>
      <c r="B300" s="2">
        <v>105.0</v>
      </c>
      <c r="C300" s="2" t="s">
        <v>533</v>
      </c>
      <c r="D300" s="2" t="s">
        <v>13</v>
      </c>
      <c r="E300" s="2">
        <v>10.0</v>
      </c>
      <c r="F300" s="6">
        <f>IFERROR(__xludf.DUMMYFUNCTION("""COMPUTED_VALUE"""),1.38333560002502)</f>
        <v>1.3833356</v>
      </c>
    </row>
    <row r="301">
      <c r="A301" s="6" t="str">
        <f t="shared" si="2"/>
        <v>P2</v>
      </c>
      <c r="B301" s="2">
        <v>106.0</v>
      </c>
      <c r="C301" s="2" t="s">
        <v>538</v>
      </c>
      <c r="D301" s="2" t="s">
        <v>13</v>
      </c>
      <c r="E301" s="2">
        <v>10.0</v>
      </c>
      <c r="F301" s="6">
        <f>IFERROR(__xludf.DUMMYFUNCTION("""COMPUTED_VALUE"""),1.54032350005581)</f>
        <v>1.5403235</v>
      </c>
    </row>
    <row r="302">
      <c r="A302" s="6" t="str">
        <f t="shared" si="2"/>
        <v>P2</v>
      </c>
      <c r="B302" s="2">
        <v>107.0</v>
      </c>
      <c r="C302" s="2" t="s">
        <v>543</v>
      </c>
      <c r="D302" s="2" t="s">
        <v>13</v>
      </c>
      <c r="E302" s="2">
        <v>5.0</v>
      </c>
      <c r="F302" s="6">
        <f>IFERROR(__xludf.DUMMYFUNCTION("""COMPUTED_VALUE"""),1.29276730003766)</f>
        <v>1.2927673</v>
      </c>
    </row>
    <row r="303">
      <c r="A303" s="6" t="str">
        <f t="shared" si="2"/>
        <v>P2</v>
      </c>
      <c r="B303" s="2">
        <v>108.0</v>
      </c>
      <c r="C303" s="2" t="s">
        <v>548</v>
      </c>
      <c r="D303" s="2" t="s">
        <v>13</v>
      </c>
      <c r="E303" s="2">
        <v>10.0</v>
      </c>
      <c r="F303" s="6">
        <f>IFERROR(__xludf.DUMMYFUNCTION("""COMPUTED_VALUE"""),1.65802630002144)</f>
        <v>1.6580263</v>
      </c>
    </row>
    <row r="304">
      <c r="A304" s="6" t="str">
        <f t="shared" si="2"/>
        <v>P2</v>
      </c>
      <c r="B304" s="2">
        <v>109.0</v>
      </c>
      <c r="C304" s="2" t="s">
        <v>553</v>
      </c>
      <c r="D304" s="2" t="s">
        <v>13</v>
      </c>
      <c r="E304" s="2">
        <v>5.0</v>
      </c>
      <c r="F304" s="6">
        <f>IFERROR(__xludf.DUMMYFUNCTION("""COMPUTED_VALUE"""),1.38617190008517)</f>
        <v>1.3861719</v>
      </c>
    </row>
    <row r="305">
      <c r="A305" s="6" t="str">
        <f t="shared" si="2"/>
        <v>P2</v>
      </c>
      <c r="B305" s="2">
        <v>110.0</v>
      </c>
      <c r="C305" s="2" t="s">
        <v>558</v>
      </c>
      <c r="D305" s="2" t="s">
        <v>13</v>
      </c>
      <c r="E305" s="2">
        <v>5.0</v>
      </c>
      <c r="F305" s="6">
        <f>IFERROR(__xludf.DUMMYFUNCTION("""COMPUTED_VALUE"""),1.34602820000145)</f>
        <v>1.3460282</v>
      </c>
    </row>
    <row r="306">
      <c r="A306" s="6" t="str">
        <f t="shared" si="2"/>
        <v>P2</v>
      </c>
      <c r="B306" s="2">
        <v>111.0</v>
      </c>
      <c r="C306" s="2" t="s">
        <v>563</v>
      </c>
      <c r="D306" s="2" t="s">
        <v>13</v>
      </c>
      <c r="E306" s="2">
        <v>5.0</v>
      </c>
      <c r="F306" s="6">
        <f>IFERROR(__xludf.DUMMYFUNCTION("""COMPUTED_VALUE"""),1.22298219997901)</f>
        <v>1.2229822</v>
      </c>
    </row>
    <row r="307">
      <c r="A307" s="6" t="str">
        <f t="shared" si="2"/>
        <v>P2</v>
      </c>
      <c r="B307" s="2">
        <v>112.0</v>
      </c>
      <c r="C307" s="2" t="s">
        <v>568</v>
      </c>
      <c r="D307" s="2" t="s">
        <v>13</v>
      </c>
      <c r="E307" s="2">
        <v>10.0</v>
      </c>
      <c r="F307" s="6">
        <f>IFERROR(__xludf.DUMMYFUNCTION("""COMPUTED_VALUE"""),1.45208249997813)</f>
        <v>1.4520825</v>
      </c>
    </row>
    <row r="308">
      <c r="A308" s="6" t="str">
        <f t="shared" si="2"/>
        <v>P2</v>
      </c>
      <c r="B308" s="2">
        <v>113.0</v>
      </c>
      <c r="C308" s="2" t="s">
        <v>573</v>
      </c>
      <c r="D308" s="2" t="s">
        <v>13</v>
      </c>
      <c r="E308" s="2">
        <v>5.0</v>
      </c>
      <c r="F308" s="6">
        <f>IFERROR(__xludf.DUMMYFUNCTION("""COMPUTED_VALUE"""),1.51561650005169)</f>
        <v>1.5156165</v>
      </c>
    </row>
    <row r="309">
      <c r="A309" s="6" t="str">
        <f t="shared" si="2"/>
        <v>P2</v>
      </c>
      <c r="B309" s="2">
        <v>114.0</v>
      </c>
      <c r="C309" s="2" t="s">
        <v>578</v>
      </c>
      <c r="D309" s="2" t="s">
        <v>13</v>
      </c>
      <c r="E309" s="2">
        <v>5.0</v>
      </c>
      <c r="F309" s="6">
        <f>IFERROR(__xludf.DUMMYFUNCTION("""COMPUTED_VALUE"""),1.81338790000882)</f>
        <v>1.8133879</v>
      </c>
    </row>
    <row r="310">
      <c r="A310" s="6" t="str">
        <f t="shared" si="2"/>
        <v>P2</v>
      </c>
      <c r="B310" s="2">
        <v>115.0</v>
      </c>
      <c r="C310" s="2" t="s">
        <v>583</v>
      </c>
      <c r="D310" s="2" t="s">
        <v>13</v>
      </c>
      <c r="E310" s="2">
        <v>10.0</v>
      </c>
      <c r="F310" s="6">
        <f>IFERROR(__xludf.DUMMYFUNCTION("""COMPUTED_VALUE"""),1.88554389995988)</f>
        <v>1.8855439</v>
      </c>
    </row>
    <row r="311">
      <c r="A311" s="6" t="str">
        <f t="shared" si="2"/>
        <v>P2</v>
      </c>
      <c r="B311" s="2">
        <v>116.0</v>
      </c>
      <c r="C311" s="2" t="s">
        <v>587</v>
      </c>
      <c r="D311" s="2" t="s">
        <v>13</v>
      </c>
      <c r="E311" s="2">
        <v>5.0</v>
      </c>
      <c r="F311" s="6">
        <f>IFERROR(__xludf.DUMMYFUNCTION("""COMPUTED_VALUE"""),1.91735230002086)</f>
        <v>1.9173523</v>
      </c>
    </row>
    <row r="312">
      <c r="A312" s="6" t="str">
        <f t="shared" si="2"/>
        <v>P2</v>
      </c>
      <c r="B312" s="2">
        <v>117.0</v>
      </c>
      <c r="C312" s="2" t="s">
        <v>592</v>
      </c>
      <c r="D312" s="2" t="s">
        <v>13</v>
      </c>
      <c r="E312" s="2">
        <v>5.0</v>
      </c>
      <c r="F312" s="6">
        <f>IFERROR(__xludf.DUMMYFUNCTION("""COMPUTED_VALUE"""),1.75516459997743)</f>
        <v>1.7551646</v>
      </c>
    </row>
    <row r="313">
      <c r="A313" s="6" t="str">
        <f t="shared" si="2"/>
        <v>P2</v>
      </c>
      <c r="B313" s="2">
        <v>118.0</v>
      </c>
      <c r="C313" s="2" t="s">
        <v>597</v>
      </c>
      <c r="D313" s="2" t="s">
        <v>13</v>
      </c>
      <c r="E313" s="2">
        <v>10.0</v>
      </c>
      <c r="F313" s="6">
        <f>IFERROR(__xludf.DUMMYFUNCTION("""COMPUTED_VALUE"""),1.35381180001422)</f>
        <v>1.3538118</v>
      </c>
    </row>
    <row r="314">
      <c r="A314" s="6" t="str">
        <f t="shared" si="2"/>
        <v>P2</v>
      </c>
      <c r="B314" s="2">
        <v>119.0</v>
      </c>
      <c r="C314" s="2" t="s">
        <v>602</v>
      </c>
      <c r="D314" s="2" t="s">
        <v>13</v>
      </c>
      <c r="E314" s="2">
        <v>10.0</v>
      </c>
      <c r="F314" s="6">
        <f>IFERROR(__xludf.DUMMYFUNCTION("""COMPUTED_VALUE"""),1.35755079996306)</f>
        <v>1.3575508</v>
      </c>
    </row>
    <row r="315">
      <c r="A315" s="6" t="str">
        <f t="shared" si="2"/>
        <v>P2</v>
      </c>
      <c r="B315" s="2">
        <v>120.0</v>
      </c>
      <c r="C315" s="2" t="s">
        <v>607</v>
      </c>
      <c r="D315" s="2" t="s">
        <v>13</v>
      </c>
      <c r="E315" s="2">
        <v>5.0</v>
      </c>
      <c r="F315" s="6">
        <f>IFERROR(__xludf.DUMMYFUNCTION("""COMPUTED_VALUE"""),1.39958939992357)</f>
        <v>1.3995894</v>
      </c>
    </row>
    <row r="316">
      <c r="A316" s="6" t="str">
        <f t="shared" si="2"/>
        <v>P2</v>
      </c>
      <c r="B316" s="2">
        <v>121.0</v>
      </c>
      <c r="C316" s="2" t="s">
        <v>612</v>
      </c>
      <c r="D316" s="2" t="s">
        <v>13</v>
      </c>
      <c r="E316" s="2">
        <v>10.0</v>
      </c>
      <c r="F316" s="6">
        <f>IFERROR(__xludf.DUMMYFUNCTION("""COMPUTED_VALUE"""),1.88687180005945)</f>
        <v>1.8868718</v>
      </c>
    </row>
    <row r="317">
      <c r="A317" s="6" t="str">
        <f t="shared" si="2"/>
        <v>P2</v>
      </c>
      <c r="B317" s="2">
        <v>122.0</v>
      </c>
      <c r="C317" s="2" t="s">
        <v>617</v>
      </c>
      <c r="D317" s="2" t="s">
        <v>13</v>
      </c>
      <c r="E317" s="2">
        <v>5.0</v>
      </c>
      <c r="F317" s="6">
        <f>IFERROR(__xludf.DUMMYFUNCTION("""COMPUTED_VALUE"""),1.41606289998162)</f>
        <v>1.4160629</v>
      </c>
    </row>
    <row r="318">
      <c r="A318" s="6" t="str">
        <f t="shared" si="2"/>
        <v>P2</v>
      </c>
      <c r="B318" s="2">
        <v>123.0</v>
      </c>
      <c r="C318" s="2" t="s">
        <v>622</v>
      </c>
      <c r="D318" s="2" t="s">
        <v>13</v>
      </c>
      <c r="E318" s="2">
        <v>5.0</v>
      </c>
      <c r="F318" s="6">
        <f>IFERROR(__xludf.DUMMYFUNCTION("""COMPUTED_VALUE"""),1.45080480002798)</f>
        <v>1.4508048</v>
      </c>
    </row>
    <row r="319">
      <c r="A319" s="6" t="str">
        <f t="shared" si="2"/>
        <v>P2</v>
      </c>
      <c r="B319" s="2">
        <v>124.0</v>
      </c>
      <c r="C319" s="2" t="s">
        <v>627</v>
      </c>
      <c r="D319" s="2" t="s">
        <v>13</v>
      </c>
      <c r="E319" s="2">
        <v>5.0</v>
      </c>
      <c r="F319" s="6">
        <f>IFERROR(__xludf.DUMMYFUNCTION("""COMPUTED_VALUE"""),1.30205629998818)</f>
        <v>1.3020563</v>
      </c>
    </row>
    <row r="320">
      <c r="A320" s="6" t="str">
        <f t="shared" si="2"/>
        <v>P2</v>
      </c>
      <c r="B320" s="2">
        <v>125.0</v>
      </c>
      <c r="C320" s="2" t="s">
        <v>632</v>
      </c>
      <c r="D320" s="2" t="s">
        <v>13</v>
      </c>
      <c r="E320" s="2">
        <v>5.0</v>
      </c>
      <c r="F320" s="6">
        <f>IFERROR(__xludf.DUMMYFUNCTION("""COMPUTED_VALUE"""),1.73091439995914)</f>
        <v>1.7309144</v>
      </c>
    </row>
    <row r="321">
      <c r="A321" s="6" t="str">
        <f t="shared" si="2"/>
        <v>P2</v>
      </c>
      <c r="B321" s="2">
        <v>126.0</v>
      </c>
      <c r="C321" s="2" t="s">
        <v>637</v>
      </c>
      <c r="D321" s="2" t="s">
        <v>13</v>
      </c>
      <c r="E321" s="2">
        <v>10.0</v>
      </c>
      <c r="F321" s="6">
        <f>IFERROR(__xludf.DUMMYFUNCTION("""COMPUTED_VALUE"""),1.38886889989953)</f>
        <v>1.3888689</v>
      </c>
    </row>
    <row r="322">
      <c r="A322" s="6" t="str">
        <f t="shared" si="2"/>
        <v>P2</v>
      </c>
      <c r="B322" s="2">
        <v>127.0</v>
      </c>
      <c r="C322" s="2" t="s">
        <v>642</v>
      </c>
      <c r="D322" s="2" t="s">
        <v>13</v>
      </c>
      <c r="E322" s="2">
        <v>5.0</v>
      </c>
      <c r="F322" s="6">
        <f>IFERROR(__xludf.DUMMYFUNCTION("""COMPUTED_VALUE"""),2.41565590002574)</f>
        <v>2.4156559</v>
      </c>
    </row>
    <row r="323">
      <c r="A323" s="6" t="str">
        <f t="shared" si="2"/>
        <v>P2</v>
      </c>
      <c r="B323" s="2">
        <v>128.0</v>
      </c>
      <c r="C323" s="2" t="s">
        <v>647</v>
      </c>
      <c r="D323" s="2" t="s">
        <v>13</v>
      </c>
      <c r="E323" s="2">
        <v>10.0</v>
      </c>
      <c r="F323" s="6">
        <f>IFERROR(__xludf.DUMMYFUNCTION("""COMPUTED_VALUE"""),1.78090000001247)</f>
        <v>1.7809</v>
      </c>
    </row>
    <row r="324">
      <c r="A324" s="6" t="str">
        <f t="shared" si="2"/>
        <v>P2</v>
      </c>
      <c r="B324" s="2">
        <v>129.0</v>
      </c>
      <c r="C324" s="2" t="s">
        <v>652</v>
      </c>
      <c r="D324" s="2" t="s">
        <v>13</v>
      </c>
      <c r="E324" s="2">
        <v>5.0</v>
      </c>
      <c r="F324" s="6">
        <f>IFERROR(__xludf.DUMMYFUNCTION("""COMPUTED_VALUE"""),1.58606170001439)</f>
        <v>1.5860617</v>
      </c>
    </row>
    <row r="325">
      <c r="A325" s="6" t="str">
        <f t="shared" si="2"/>
        <v>P2</v>
      </c>
      <c r="B325" s="2">
        <v>130.0</v>
      </c>
      <c r="C325" s="2" t="s">
        <v>657</v>
      </c>
      <c r="D325" s="2" t="s">
        <v>13</v>
      </c>
      <c r="E325" s="2">
        <v>10.0</v>
      </c>
      <c r="F325" s="6">
        <f>IFERROR(__xludf.DUMMYFUNCTION("""COMPUTED_VALUE"""),2.03499640000518)</f>
        <v>2.0349964</v>
      </c>
    </row>
    <row r="326">
      <c r="A326" s="6" t="str">
        <f t="shared" si="2"/>
        <v>P2</v>
      </c>
      <c r="B326" s="2">
        <v>131.0</v>
      </c>
      <c r="C326" s="2" t="s">
        <v>662</v>
      </c>
      <c r="D326" s="2" t="s">
        <v>13</v>
      </c>
      <c r="E326" s="2">
        <v>5.0</v>
      </c>
      <c r="F326" s="6">
        <f>IFERROR(__xludf.DUMMYFUNCTION("""COMPUTED_VALUE"""),1.19690179999452)</f>
        <v>1.1969018</v>
      </c>
    </row>
    <row r="327">
      <c r="A327" s="6" t="str">
        <f t="shared" si="2"/>
        <v>P2</v>
      </c>
      <c r="B327" s="2">
        <v>132.0</v>
      </c>
      <c r="C327" s="2" t="s">
        <v>667</v>
      </c>
      <c r="D327" s="2" t="s">
        <v>13</v>
      </c>
      <c r="E327" s="2">
        <v>10.0</v>
      </c>
      <c r="F327" s="6">
        <f>IFERROR(__xludf.DUMMYFUNCTION("""COMPUTED_VALUE"""),1.74274739995598)</f>
        <v>1.7427474</v>
      </c>
    </row>
    <row r="328">
      <c r="A328" s="6" t="str">
        <f t="shared" si="2"/>
        <v>P2</v>
      </c>
      <c r="B328" s="2">
        <v>133.0</v>
      </c>
      <c r="C328" s="2" t="s">
        <v>672</v>
      </c>
      <c r="D328" s="2" t="s">
        <v>13</v>
      </c>
      <c r="E328" s="2">
        <v>5.0</v>
      </c>
      <c r="F328" s="6">
        <f>IFERROR(__xludf.DUMMYFUNCTION("""COMPUTED_VALUE"""),1.56485100009012)</f>
        <v>1.564851</v>
      </c>
    </row>
    <row r="329">
      <c r="A329" s="6" t="str">
        <f t="shared" si="2"/>
        <v>P2</v>
      </c>
      <c r="B329" s="2">
        <v>134.0</v>
      </c>
      <c r="C329" s="2" t="s">
        <v>677</v>
      </c>
      <c r="D329" s="2" t="s">
        <v>13</v>
      </c>
      <c r="E329" s="2">
        <v>10.0</v>
      </c>
      <c r="F329" s="6">
        <f>IFERROR(__xludf.DUMMYFUNCTION("""COMPUTED_VALUE"""),1.78566709998995)</f>
        <v>1.7856671</v>
      </c>
    </row>
    <row r="330">
      <c r="A330" s="6" t="str">
        <f t="shared" si="2"/>
        <v>P2</v>
      </c>
      <c r="B330" s="2">
        <v>135.0</v>
      </c>
      <c r="C330" s="2" t="s">
        <v>682</v>
      </c>
      <c r="D330" s="2" t="s">
        <v>13</v>
      </c>
      <c r="E330" s="2">
        <v>5.0</v>
      </c>
      <c r="F330" s="6">
        <f>IFERROR(__xludf.DUMMYFUNCTION("""COMPUTED_VALUE"""),1.24832690006587)</f>
        <v>1.2483269</v>
      </c>
    </row>
    <row r="331">
      <c r="A331" s="6" t="str">
        <f t="shared" si="2"/>
        <v>P2</v>
      </c>
      <c r="B331" s="2">
        <v>136.0</v>
      </c>
      <c r="C331" s="2" t="s">
        <v>687</v>
      </c>
      <c r="D331" s="2" t="s">
        <v>13</v>
      </c>
      <c r="E331" s="2">
        <v>10.0</v>
      </c>
      <c r="F331" s="6">
        <f>IFERROR(__xludf.DUMMYFUNCTION("""COMPUTED_VALUE"""),2.05017599998973)</f>
        <v>2.050176</v>
      </c>
    </row>
    <row r="332">
      <c r="A332" s="6" t="str">
        <f t="shared" si="2"/>
        <v>P2</v>
      </c>
      <c r="B332" s="2">
        <v>137.0</v>
      </c>
      <c r="C332" s="2" t="s">
        <v>692</v>
      </c>
      <c r="D332" s="2" t="s">
        <v>13</v>
      </c>
      <c r="E332" s="2">
        <v>10.0</v>
      </c>
      <c r="F332" s="6">
        <f>IFERROR(__xludf.DUMMYFUNCTION("""COMPUTED_VALUE"""),1.41942559997551)</f>
        <v>1.4194256</v>
      </c>
    </row>
    <row r="333">
      <c r="A333" s="6" t="str">
        <f t="shared" si="2"/>
        <v>P2</v>
      </c>
      <c r="B333" s="2">
        <v>138.0</v>
      </c>
      <c r="C333" s="2" t="s">
        <v>697</v>
      </c>
      <c r="D333" s="2" t="s">
        <v>13</v>
      </c>
      <c r="E333" s="2">
        <v>10.0</v>
      </c>
      <c r="F333" s="6">
        <f>IFERROR(__xludf.DUMMYFUNCTION("""COMPUTED_VALUE"""),1.15028140007052)</f>
        <v>1.1502814</v>
      </c>
    </row>
    <row r="334">
      <c r="A334" s="6" t="str">
        <f t="shared" si="2"/>
        <v>P2</v>
      </c>
      <c r="B334" s="2">
        <v>139.0</v>
      </c>
      <c r="C334" s="2" t="s">
        <v>702</v>
      </c>
      <c r="D334" s="2" t="s">
        <v>13</v>
      </c>
      <c r="E334" s="2">
        <v>5.0</v>
      </c>
      <c r="F334" s="6">
        <f>IFERROR(__xludf.DUMMYFUNCTION("""COMPUTED_VALUE"""),1.26549010002054)</f>
        <v>1.2654901</v>
      </c>
    </row>
    <row r="335">
      <c r="A335" s="6" t="str">
        <f t="shared" si="2"/>
        <v>P2</v>
      </c>
      <c r="B335" s="2">
        <v>140.0</v>
      </c>
      <c r="C335" s="2" t="s">
        <v>707</v>
      </c>
      <c r="D335" s="2" t="s">
        <v>13</v>
      </c>
      <c r="E335" s="2">
        <v>10.0</v>
      </c>
      <c r="F335" s="6">
        <f>IFERROR(__xludf.DUMMYFUNCTION("""COMPUTED_VALUE"""),1.50147420004941)</f>
        <v>1.5014742</v>
      </c>
    </row>
    <row r="336">
      <c r="A336" s="6" t="str">
        <f t="shared" si="2"/>
        <v>P2</v>
      </c>
      <c r="B336" s="2">
        <v>141.0</v>
      </c>
      <c r="C336" s="2" t="s">
        <v>712</v>
      </c>
      <c r="D336" s="2" t="s">
        <v>13</v>
      </c>
      <c r="E336" s="2">
        <v>5.0</v>
      </c>
      <c r="F336" s="6">
        <f>IFERROR(__xludf.DUMMYFUNCTION("""COMPUTED_VALUE"""),1.63423919992055)</f>
        <v>1.6342392</v>
      </c>
    </row>
    <row r="337">
      <c r="A337" s="6" t="str">
        <f t="shared" si="2"/>
        <v>P2</v>
      </c>
      <c r="B337" s="2">
        <v>142.0</v>
      </c>
      <c r="C337" s="2" t="s">
        <v>717</v>
      </c>
      <c r="D337" s="2" t="s">
        <v>13</v>
      </c>
      <c r="E337" s="2">
        <v>10.0</v>
      </c>
      <c r="F337" s="6">
        <f>IFERROR(__xludf.DUMMYFUNCTION("""COMPUTED_VALUE"""),1.31783539999742)</f>
        <v>1.3178354</v>
      </c>
    </row>
    <row r="338">
      <c r="A338" s="6" t="str">
        <f t="shared" si="2"/>
        <v>P2</v>
      </c>
      <c r="B338" s="2">
        <v>143.0</v>
      </c>
      <c r="C338" s="2" t="s">
        <v>721</v>
      </c>
      <c r="D338" s="2" t="s">
        <v>13</v>
      </c>
      <c r="E338" s="2">
        <v>5.0</v>
      </c>
      <c r="F338" s="6">
        <f>IFERROR(__xludf.DUMMYFUNCTION("""COMPUTED_VALUE"""),1.3361146999523)</f>
        <v>1.3361147</v>
      </c>
    </row>
    <row r="339">
      <c r="A339" s="6" t="str">
        <f t="shared" si="2"/>
        <v>P2</v>
      </c>
      <c r="B339" s="2">
        <v>144.0</v>
      </c>
      <c r="C339" s="2" t="s">
        <v>726</v>
      </c>
      <c r="D339" s="2" t="s">
        <v>13</v>
      </c>
      <c r="E339" s="2">
        <v>10.0</v>
      </c>
      <c r="F339" s="6">
        <f>IFERROR(__xludf.DUMMYFUNCTION("""COMPUTED_VALUE"""),1.66760419995989)</f>
        <v>1.6676042</v>
      </c>
    </row>
    <row r="340">
      <c r="A340" s="6" t="str">
        <f t="shared" si="2"/>
        <v>P2</v>
      </c>
      <c r="B340" s="2">
        <v>145.0</v>
      </c>
      <c r="C340" s="2" t="s">
        <v>731</v>
      </c>
      <c r="D340" s="2" t="s">
        <v>13</v>
      </c>
      <c r="E340" s="2">
        <v>10.0</v>
      </c>
      <c r="F340" s="6">
        <f>IFERROR(__xludf.DUMMYFUNCTION("""COMPUTED_VALUE"""),1.50735379999969)</f>
        <v>1.5073538</v>
      </c>
    </row>
    <row r="341">
      <c r="A341" s="6" t="str">
        <f t="shared" si="2"/>
        <v>P2</v>
      </c>
      <c r="B341" s="2">
        <v>146.0</v>
      </c>
      <c r="C341" s="2" t="s">
        <v>736</v>
      </c>
      <c r="D341" s="2" t="s">
        <v>13</v>
      </c>
      <c r="E341" s="2">
        <v>5.0</v>
      </c>
      <c r="F341" s="6">
        <f>IFERROR(__xludf.DUMMYFUNCTION("""COMPUTED_VALUE"""),1.47896350000519)</f>
        <v>1.4789635</v>
      </c>
    </row>
    <row r="342">
      <c r="A342" s="6" t="str">
        <f t="shared" si="2"/>
        <v>P2</v>
      </c>
      <c r="B342" s="2">
        <v>147.0</v>
      </c>
      <c r="C342" s="2" t="s">
        <v>741</v>
      </c>
      <c r="D342" s="2" t="s">
        <v>13</v>
      </c>
      <c r="E342" s="2">
        <v>10.0</v>
      </c>
      <c r="F342" s="6">
        <f>IFERROR(__xludf.DUMMYFUNCTION("""COMPUTED_VALUE"""),1.75231750006787)</f>
        <v>1.7523175</v>
      </c>
    </row>
    <row r="343">
      <c r="A343" s="6" t="str">
        <f t="shared" si="2"/>
        <v>P2</v>
      </c>
      <c r="B343" s="2">
        <v>148.0</v>
      </c>
      <c r="C343" s="2" t="s">
        <v>746</v>
      </c>
      <c r="D343" s="2" t="s">
        <v>13</v>
      </c>
      <c r="E343" s="2">
        <v>5.0</v>
      </c>
      <c r="F343" s="6">
        <f>IFERROR(__xludf.DUMMYFUNCTION("""COMPUTED_VALUE"""),2.21651550009846)</f>
        <v>2.2165155</v>
      </c>
    </row>
    <row r="344">
      <c r="A344" s="6" t="str">
        <f t="shared" si="2"/>
        <v>P2</v>
      </c>
      <c r="B344" s="2">
        <v>149.0</v>
      </c>
      <c r="C344" s="2" t="s">
        <v>751</v>
      </c>
      <c r="D344" s="2" t="s">
        <v>13</v>
      </c>
      <c r="E344" s="2">
        <v>5.0</v>
      </c>
      <c r="F344" s="6">
        <f>IFERROR(__xludf.DUMMYFUNCTION("""COMPUTED_VALUE"""),1.30122869997285)</f>
        <v>1.3012287</v>
      </c>
    </row>
    <row r="345">
      <c r="A345" s="6" t="str">
        <f t="shared" si="2"/>
        <v>P2</v>
      </c>
      <c r="B345" s="2">
        <v>150.0</v>
      </c>
      <c r="C345" s="2" t="s">
        <v>755</v>
      </c>
      <c r="D345" s="2" t="s">
        <v>13</v>
      </c>
      <c r="E345" s="2">
        <v>5.0</v>
      </c>
      <c r="F345" s="6">
        <f>IFERROR(__xludf.DUMMYFUNCTION("""COMPUTED_VALUE"""),1.59727749996818)</f>
        <v>1.5972775</v>
      </c>
    </row>
    <row r="346">
      <c r="A346" s="6" t="str">
        <f t="shared" si="2"/>
        <v>P2</v>
      </c>
      <c r="B346" s="2">
        <v>151.0</v>
      </c>
      <c r="C346" s="2" t="s">
        <v>760</v>
      </c>
      <c r="D346" s="2" t="s">
        <v>13</v>
      </c>
      <c r="E346" s="2">
        <v>10.0</v>
      </c>
      <c r="F346" s="6">
        <f>IFERROR(__xludf.DUMMYFUNCTION("""COMPUTED_VALUE"""),2.38743250002153)</f>
        <v>2.3874325</v>
      </c>
    </row>
    <row r="347">
      <c r="A347" s="6" t="str">
        <f t="shared" si="2"/>
        <v>P2</v>
      </c>
      <c r="B347" s="2">
        <v>152.0</v>
      </c>
      <c r="C347" s="2" t="s">
        <v>765</v>
      </c>
      <c r="D347" s="2" t="s">
        <v>13</v>
      </c>
      <c r="E347" s="2">
        <v>10.0</v>
      </c>
      <c r="F347" s="6">
        <f>IFERROR(__xludf.DUMMYFUNCTION("""COMPUTED_VALUE"""),1.63853380002547)</f>
        <v>1.6385338</v>
      </c>
    </row>
    <row r="348">
      <c r="A348" s="6" t="str">
        <f t="shared" si="2"/>
        <v>P2</v>
      </c>
      <c r="B348" s="2">
        <v>153.0</v>
      </c>
      <c r="C348" s="2" t="s">
        <v>770</v>
      </c>
      <c r="D348" s="2" t="s">
        <v>13</v>
      </c>
      <c r="E348" s="2">
        <v>10.0</v>
      </c>
      <c r="F348" s="6">
        <f>IFERROR(__xludf.DUMMYFUNCTION("""COMPUTED_VALUE"""),1.28899329993873)</f>
        <v>1.2889933</v>
      </c>
    </row>
    <row r="349">
      <c r="A349" s="6" t="str">
        <f t="shared" si="2"/>
        <v>P2</v>
      </c>
      <c r="B349" s="2">
        <v>154.0</v>
      </c>
      <c r="C349" s="2" t="s">
        <v>775</v>
      </c>
      <c r="D349" s="2" t="s">
        <v>13</v>
      </c>
      <c r="E349" s="2">
        <v>10.0</v>
      </c>
      <c r="F349" s="6">
        <f>IFERROR(__xludf.DUMMYFUNCTION("""COMPUTED_VALUE"""),1.86617999989539)</f>
        <v>1.86618</v>
      </c>
    </row>
    <row r="350">
      <c r="A350" s="6" t="str">
        <f t="shared" si="2"/>
        <v>P2</v>
      </c>
      <c r="B350" s="2">
        <v>155.0</v>
      </c>
      <c r="C350" s="2" t="s">
        <v>780</v>
      </c>
      <c r="D350" s="2" t="s">
        <v>13</v>
      </c>
      <c r="E350" s="2">
        <v>10.0</v>
      </c>
      <c r="F350" s="6">
        <f>IFERROR(__xludf.DUMMYFUNCTION("""COMPUTED_VALUE"""),1.43621519999578)</f>
        <v>1.4362152</v>
      </c>
    </row>
    <row r="351">
      <c r="A351" s="6" t="str">
        <f t="shared" si="2"/>
        <v>P2</v>
      </c>
      <c r="B351" s="2">
        <v>156.0</v>
      </c>
      <c r="C351" s="2" t="s">
        <v>785</v>
      </c>
      <c r="D351" s="2" t="s">
        <v>13</v>
      </c>
      <c r="E351" s="2">
        <v>5.0</v>
      </c>
      <c r="F351" s="6">
        <f>IFERROR(__xludf.DUMMYFUNCTION("""COMPUTED_VALUE"""),1.33171920001041)</f>
        <v>1.3317192</v>
      </c>
    </row>
    <row r="352">
      <c r="A352" s="6" t="str">
        <f t="shared" si="2"/>
        <v>P2</v>
      </c>
      <c r="B352" s="2">
        <v>157.0</v>
      </c>
      <c r="C352" s="2" t="s">
        <v>790</v>
      </c>
      <c r="D352" s="2" t="s">
        <v>13</v>
      </c>
      <c r="E352" s="2">
        <v>5.0</v>
      </c>
      <c r="F352" s="6">
        <f>IFERROR(__xludf.DUMMYFUNCTION("""COMPUTED_VALUE"""),1.48518930003047)</f>
        <v>1.4851893</v>
      </c>
    </row>
    <row r="353">
      <c r="A353" s="6" t="str">
        <f t="shared" si="2"/>
        <v>P2</v>
      </c>
      <c r="B353" s="2">
        <v>158.0</v>
      </c>
      <c r="C353" s="2" t="s">
        <v>795</v>
      </c>
      <c r="D353" s="2" t="s">
        <v>13</v>
      </c>
      <c r="E353" s="2">
        <v>10.0</v>
      </c>
      <c r="F353" s="6">
        <f>IFERROR(__xludf.DUMMYFUNCTION("""COMPUTED_VALUE"""),1.10574409994296)</f>
        <v>1.1057441</v>
      </c>
    </row>
    <row r="354">
      <c r="A354" s="6" t="str">
        <f t="shared" si="2"/>
        <v>P2</v>
      </c>
      <c r="B354" s="2">
        <v>159.0</v>
      </c>
      <c r="C354" s="2" t="s">
        <v>800</v>
      </c>
      <c r="D354" s="2" t="s">
        <v>13</v>
      </c>
      <c r="E354" s="2">
        <v>10.0</v>
      </c>
      <c r="F354" s="6">
        <f>IFERROR(__xludf.DUMMYFUNCTION("""COMPUTED_VALUE"""),1.57229009992443)</f>
        <v>1.5722901</v>
      </c>
    </row>
    <row r="355">
      <c r="A355" s="6" t="str">
        <f t="shared" si="2"/>
        <v>P2</v>
      </c>
      <c r="B355" s="2">
        <v>160.0</v>
      </c>
      <c r="C355" s="2" t="s">
        <v>805</v>
      </c>
      <c r="D355" s="2" t="s">
        <v>13</v>
      </c>
      <c r="E355" s="2">
        <v>5.0</v>
      </c>
      <c r="F355" s="6">
        <f>IFERROR(__xludf.DUMMYFUNCTION("""COMPUTED_VALUE"""),1.91642150003463)</f>
        <v>1.9164215</v>
      </c>
    </row>
    <row r="356">
      <c r="A356" s="6" t="str">
        <f t="shared" si="2"/>
        <v>P2</v>
      </c>
      <c r="B356" s="2">
        <v>161.0</v>
      </c>
      <c r="C356" s="2" t="s">
        <v>810</v>
      </c>
      <c r="D356" s="2" t="s">
        <v>13</v>
      </c>
      <c r="E356" s="2">
        <v>10.0</v>
      </c>
      <c r="F356" s="6">
        <f>IFERROR(__xludf.DUMMYFUNCTION("""COMPUTED_VALUE"""),2.30791189998853)</f>
        <v>2.3079119</v>
      </c>
    </row>
    <row r="357">
      <c r="A357" s="6" t="str">
        <f t="shared" si="2"/>
        <v>P2</v>
      </c>
      <c r="B357" s="2">
        <v>162.0</v>
      </c>
      <c r="C357" s="2" t="s">
        <v>814</v>
      </c>
      <c r="D357" s="2" t="s">
        <v>13</v>
      </c>
      <c r="E357" s="2">
        <v>5.0</v>
      </c>
      <c r="F357" s="6">
        <f>IFERROR(__xludf.DUMMYFUNCTION("""COMPUTED_VALUE"""),1.52451399993151)</f>
        <v>1.524514</v>
      </c>
    </row>
    <row r="358">
      <c r="A358" s="6" t="str">
        <f t="shared" si="2"/>
        <v>P2</v>
      </c>
      <c r="B358" s="2">
        <v>163.0</v>
      </c>
      <c r="C358" s="2" t="s">
        <v>819</v>
      </c>
      <c r="D358" s="2" t="s">
        <v>13</v>
      </c>
      <c r="E358" s="2">
        <v>10.0</v>
      </c>
      <c r="F358" s="6">
        <f>IFERROR(__xludf.DUMMYFUNCTION("""COMPUTED_VALUE"""),1.85377139993943)</f>
        <v>1.8537714</v>
      </c>
    </row>
    <row r="359">
      <c r="A359" s="6" t="str">
        <f t="shared" si="2"/>
        <v>P2</v>
      </c>
      <c r="B359" s="2">
        <v>164.0</v>
      </c>
      <c r="C359" s="2" t="s">
        <v>824</v>
      </c>
      <c r="D359" s="2" t="s">
        <v>13</v>
      </c>
      <c r="E359" s="2">
        <v>10.0</v>
      </c>
      <c r="F359" s="6">
        <f>IFERROR(__xludf.DUMMYFUNCTION("""COMPUTED_VALUE"""),1.92084890010301)</f>
        <v>1.9208489</v>
      </c>
    </row>
    <row r="360">
      <c r="A360" s="6" t="str">
        <f t="shared" si="2"/>
        <v>P2</v>
      </c>
      <c r="B360" s="2">
        <v>165.0</v>
      </c>
      <c r="C360" s="2" t="s">
        <v>829</v>
      </c>
      <c r="D360" s="2" t="s">
        <v>13</v>
      </c>
      <c r="E360" s="2">
        <v>10.0</v>
      </c>
      <c r="F360" s="6">
        <f>IFERROR(__xludf.DUMMYFUNCTION("""COMPUTED_VALUE"""),1.39864589995704)</f>
        <v>1.3986459</v>
      </c>
    </row>
    <row r="361">
      <c r="A361" s="6" t="str">
        <f t="shared" si="2"/>
        <v>P2</v>
      </c>
      <c r="B361" s="2">
        <v>166.0</v>
      </c>
      <c r="C361" s="2" t="s">
        <v>834</v>
      </c>
      <c r="D361" s="2" t="s">
        <v>13</v>
      </c>
      <c r="E361" s="2">
        <v>10.0</v>
      </c>
      <c r="F361" s="6">
        <f>IFERROR(__xludf.DUMMYFUNCTION("""COMPUTED_VALUE"""),1.15306150005199)</f>
        <v>1.1530615</v>
      </c>
    </row>
    <row r="362">
      <c r="A362" s="6" t="str">
        <f t="shared" si="2"/>
        <v>P2</v>
      </c>
      <c r="B362" s="2">
        <v>167.0</v>
      </c>
      <c r="C362" s="2" t="s">
        <v>839</v>
      </c>
      <c r="D362" s="2" t="s">
        <v>13</v>
      </c>
      <c r="E362" s="2">
        <v>10.0</v>
      </c>
      <c r="F362" s="6">
        <f>IFERROR(__xludf.DUMMYFUNCTION("""COMPUTED_VALUE"""),2.01872110005933)</f>
        <v>2.0187211</v>
      </c>
    </row>
    <row r="363">
      <c r="A363" s="6" t="str">
        <f t="shared" si="2"/>
        <v>P2</v>
      </c>
      <c r="B363" s="2">
        <v>168.0</v>
      </c>
      <c r="C363" s="2" t="s">
        <v>843</v>
      </c>
      <c r="D363" s="2" t="s">
        <v>13</v>
      </c>
      <c r="E363" s="2">
        <v>10.0</v>
      </c>
      <c r="F363" s="6">
        <f>IFERROR(__xludf.DUMMYFUNCTION("""COMPUTED_VALUE"""),2.03333340003155)</f>
        <v>2.0333334</v>
      </c>
    </row>
    <row r="364">
      <c r="A364" s="6" t="str">
        <f t="shared" si="2"/>
        <v>P2</v>
      </c>
      <c r="B364" s="2">
        <v>169.0</v>
      </c>
      <c r="C364" s="2" t="s">
        <v>847</v>
      </c>
      <c r="D364" s="2" t="s">
        <v>13</v>
      </c>
      <c r="E364" s="2">
        <v>5.0</v>
      </c>
      <c r="F364" s="6">
        <f>IFERROR(__xludf.DUMMYFUNCTION("""COMPUTED_VALUE"""),1.33107219997327)</f>
        <v>1.3310722</v>
      </c>
    </row>
    <row r="365">
      <c r="A365" s="6" t="str">
        <f t="shared" si="2"/>
        <v>P2</v>
      </c>
      <c r="B365" s="2">
        <v>170.0</v>
      </c>
      <c r="C365" s="2" t="s">
        <v>852</v>
      </c>
      <c r="D365" s="2" t="s">
        <v>13</v>
      </c>
      <c r="E365" s="2">
        <v>10.0</v>
      </c>
      <c r="F365" s="6">
        <f>IFERROR(__xludf.DUMMYFUNCTION("""COMPUTED_VALUE"""),3.52300420007668)</f>
        <v>3.5230042</v>
      </c>
    </row>
    <row r="366">
      <c r="A366" s="6" t="str">
        <f t="shared" si="2"/>
        <v>P2</v>
      </c>
      <c r="B366" s="2">
        <v>171.0</v>
      </c>
      <c r="C366" s="2" t="s">
        <v>857</v>
      </c>
      <c r="D366" s="2" t="s">
        <v>13</v>
      </c>
      <c r="E366" s="2">
        <v>10.0</v>
      </c>
      <c r="F366" s="6">
        <f>IFERROR(__xludf.DUMMYFUNCTION("""COMPUTED_VALUE"""),1.3363362000091)</f>
        <v>1.3363362</v>
      </c>
    </row>
    <row r="367">
      <c r="A367" s="6" t="str">
        <f t="shared" si="2"/>
        <v>P2</v>
      </c>
      <c r="B367" s="2">
        <v>172.0</v>
      </c>
      <c r="C367" s="2" t="s">
        <v>862</v>
      </c>
      <c r="D367" s="2" t="s">
        <v>13</v>
      </c>
      <c r="E367" s="2">
        <v>5.0</v>
      </c>
      <c r="F367" s="6">
        <f>IFERROR(__xludf.DUMMYFUNCTION("""COMPUTED_VALUE"""),1.9303430999862)</f>
        <v>1.9303431</v>
      </c>
    </row>
    <row r="368">
      <c r="A368" s="6" t="str">
        <f t="shared" si="2"/>
        <v>P2</v>
      </c>
      <c r="B368" s="2">
        <v>173.0</v>
      </c>
      <c r="C368" s="2" t="s">
        <v>867</v>
      </c>
      <c r="D368" s="2" t="s">
        <v>13</v>
      </c>
      <c r="E368" s="2">
        <v>10.0</v>
      </c>
      <c r="F368" s="6">
        <f>IFERROR(__xludf.DUMMYFUNCTION("""COMPUTED_VALUE"""),1.63670659996569)</f>
        <v>1.6367066</v>
      </c>
    </row>
    <row r="369">
      <c r="A369" s="6" t="str">
        <f t="shared" si="2"/>
        <v>P2</v>
      </c>
      <c r="B369" s="2">
        <v>174.0</v>
      </c>
      <c r="C369" s="2" t="s">
        <v>872</v>
      </c>
      <c r="D369" s="2" t="s">
        <v>13</v>
      </c>
      <c r="E369" s="2">
        <v>5.0</v>
      </c>
      <c r="F369" s="6">
        <f>IFERROR(__xludf.DUMMYFUNCTION("""COMPUTED_VALUE"""),1.36923930002376)</f>
        <v>1.3692393</v>
      </c>
    </row>
    <row r="370">
      <c r="A370" s="6" t="str">
        <f t="shared" si="2"/>
        <v>P2</v>
      </c>
      <c r="B370" s="2">
        <v>175.0</v>
      </c>
      <c r="C370" s="2" t="s">
        <v>877</v>
      </c>
      <c r="D370" s="2" t="s">
        <v>13</v>
      </c>
      <c r="E370" s="2">
        <v>10.0</v>
      </c>
      <c r="F370" s="6">
        <f>IFERROR(__xludf.DUMMYFUNCTION("""COMPUTED_VALUE"""),2.21721979998983)</f>
        <v>2.2172198</v>
      </c>
    </row>
    <row r="371">
      <c r="A371" s="6" t="str">
        <f t="shared" si="2"/>
        <v>P2</v>
      </c>
      <c r="B371" s="2">
        <v>176.0</v>
      </c>
      <c r="C371" s="2" t="s">
        <v>882</v>
      </c>
      <c r="D371" s="2" t="s">
        <v>13</v>
      </c>
      <c r="E371" s="2">
        <v>10.0</v>
      </c>
      <c r="F371" s="6">
        <f>IFERROR(__xludf.DUMMYFUNCTION("""COMPUTED_VALUE"""),1.46926919999532)</f>
        <v>1.4692692</v>
      </c>
    </row>
    <row r="372">
      <c r="A372" s="6" t="str">
        <f t="shared" si="2"/>
        <v>P2</v>
      </c>
      <c r="B372" s="2">
        <v>177.0</v>
      </c>
      <c r="C372" s="2" t="s">
        <v>887</v>
      </c>
      <c r="D372" s="2" t="s">
        <v>13</v>
      </c>
      <c r="E372" s="2">
        <v>5.0</v>
      </c>
      <c r="F372" s="6">
        <f>IFERROR(__xludf.DUMMYFUNCTION("""COMPUTED_VALUE"""),1.23532899993006)</f>
        <v>1.235329</v>
      </c>
    </row>
    <row r="373">
      <c r="A373" s="6" t="str">
        <f t="shared" si="2"/>
        <v>P2</v>
      </c>
      <c r="B373" s="2">
        <v>178.0</v>
      </c>
      <c r="C373" s="2" t="s">
        <v>892</v>
      </c>
      <c r="D373" s="2" t="s">
        <v>13</v>
      </c>
      <c r="E373" s="2">
        <v>5.0</v>
      </c>
      <c r="F373" s="6">
        <f>IFERROR(__xludf.DUMMYFUNCTION("""COMPUTED_VALUE"""),1.9490062999539)</f>
        <v>1.9490063</v>
      </c>
    </row>
    <row r="374">
      <c r="A374" s="6" t="str">
        <f t="shared" si="2"/>
        <v>P2</v>
      </c>
      <c r="B374" s="2">
        <v>179.0</v>
      </c>
      <c r="C374" s="2" t="s">
        <v>897</v>
      </c>
      <c r="D374" s="2" t="s">
        <v>13</v>
      </c>
      <c r="E374" s="2">
        <v>5.0</v>
      </c>
      <c r="F374" s="6">
        <f>IFERROR(__xludf.DUMMYFUNCTION("""COMPUTED_VALUE"""),2.21517139999195)</f>
        <v>2.2151714</v>
      </c>
    </row>
    <row r="375">
      <c r="A375" s="6" t="str">
        <f t="shared" si="2"/>
        <v>P2</v>
      </c>
      <c r="B375" s="2">
        <v>180.0</v>
      </c>
      <c r="C375" s="2" t="s">
        <v>902</v>
      </c>
      <c r="D375" s="2" t="s">
        <v>13</v>
      </c>
      <c r="E375" s="2">
        <v>5.0</v>
      </c>
      <c r="F375" s="6">
        <f>IFERROR(__xludf.DUMMYFUNCTION("""COMPUTED_VALUE"""),1.93438240000978)</f>
        <v>1.9343824</v>
      </c>
    </row>
    <row r="376">
      <c r="A376" s="6" t="str">
        <f t="shared" si="2"/>
        <v>P2</v>
      </c>
      <c r="B376" s="2">
        <v>181.0</v>
      </c>
      <c r="C376" s="2" t="s">
        <v>907</v>
      </c>
      <c r="D376" s="2" t="s">
        <v>13</v>
      </c>
      <c r="E376" s="2">
        <v>10.0</v>
      </c>
      <c r="F376" s="6">
        <f>IFERROR(__xludf.DUMMYFUNCTION("""COMPUTED_VALUE"""),1.53752030001487)</f>
        <v>1.5375203</v>
      </c>
    </row>
    <row r="377">
      <c r="A377" s="6" t="str">
        <f t="shared" si="2"/>
        <v>P2</v>
      </c>
      <c r="B377" s="2">
        <v>182.0</v>
      </c>
      <c r="C377" s="2" t="s">
        <v>912</v>
      </c>
      <c r="D377" s="2" t="s">
        <v>13</v>
      </c>
      <c r="E377" s="2">
        <v>5.0</v>
      </c>
      <c r="F377" s="6">
        <f>IFERROR(__xludf.DUMMYFUNCTION("""COMPUTED_VALUE"""),1.51501909992657)</f>
        <v>1.5150191</v>
      </c>
    </row>
    <row r="378">
      <c r="A378" s="6" t="str">
        <f t="shared" si="2"/>
        <v>P2</v>
      </c>
      <c r="B378" s="2">
        <v>183.0</v>
      </c>
      <c r="C378" s="2" t="s">
        <v>917</v>
      </c>
      <c r="D378" s="2" t="s">
        <v>13</v>
      </c>
      <c r="E378" s="2">
        <v>10.0</v>
      </c>
      <c r="F378" s="6">
        <f>IFERROR(__xludf.DUMMYFUNCTION("""COMPUTED_VALUE"""),1.87216710008215)</f>
        <v>1.8721671</v>
      </c>
    </row>
    <row r="379">
      <c r="A379" s="6" t="str">
        <f t="shared" si="2"/>
        <v>P2</v>
      </c>
      <c r="B379" s="2">
        <v>184.0</v>
      </c>
      <c r="C379" s="2" t="s">
        <v>922</v>
      </c>
      <c r="D379" s="2" t="s">
        <v>13</v>
      </c>
      <c r="E379" s="2">
        <v>10.0</v>
      </c>
      <c r="F379" s="6">
        <f>IFERROR(__xludf.DUMMYFUNCTION("""COMPUTED_VALUE"""),1.2684794999659)</f>
        <v>1.2684795</v>
      </c>
    </row>
    <row r="380">
      <c r="A380" s="6" t="str">
        <f t="shared" si="2"/>
        <v>P2</v>
      </c>
      <c r="B380" s="2">
        <v>185.0</v>
      </c>
      <c r="C380" s="2" t="s">
        <v>927</v>
      </c>
      <c r="D380" s="2" t="s">
        <v>13</v>
      </c>
      <c r="E380" s="2">
        <v>10.0</v>
      </c>
      <c r="F380" s="6">
        <f>IFERROR(__xludf.DUMMYFUNCTION("""COMPUTED_VALUE"""),1.69070799998007)</f>
        <v>1.690708</v>
      </c>
    </row>
    <row r="381">
      <c r="A381" s="6" t="str">
        <f t="shared" si="2"/>
        <v>P2</v>
      </c>
      <c r="B381" s="2">
        <v>186.0</v>
      </c>
      <c r="C381" s="2" t="s">
        <v>931</v>
      </c>
      <c r="D381" s="2" t="s">
        <v>13</v>
      </c>
      <c r="E381" s="2">
        <v>5.0</v>
      </c>
      <c r="F381" s="6">
        <f>IFERROR(__xludf.DUMMYFUNCTION("""COMPUTED_VALUE"""),1.36548370006494)</f>
        <v>1.3654837</v>
      </c>
    </row>
    <row r="382">
      <c r="A382" s="6" t="str">
        <f t="shared" si="2"/>
        <v>P2</v>
      </c>
      <c r="B382" s="2">
        <v>187.0</v>
      </c>
      <c r="C382" s="2" t="s">
        <v>936</v>
      </c>
      <c r="D382" s="2" t="s">
        <v>13</v>
      </c>
      <c r="E382" s="2">
        <v>5.0</v>
      </c>
      <c r="F382" s="6">
        <f>IFERROR(__xludf.DUMMYFUNCTION("""COMPUTED_VALUE"""),1.63346519996412)</f>
        <v>1.6334652</v>
      </c>
    </row>
    <row r="383">
      <c r="A383" s="6" t="str">
        <f t="shared" si="2"/>
        <v>P2</v>
      </c>
      <c r="B383" s="2">
        <v>188.0</v>
      </c>
      <c r="C383" s="2" t="s">
        <v>940</v>
      </c>
      <c r="D383" s="2" t="s">
        <v>13</v>
      </c>
      <c r="E383" s="2">
        <v>10.0</v>
      </c>
      <c r="F383" s="6">
        <f>IFERROR(__xludf.DUMMYFUNCTION("""COMPUTED_VALUE"""),1.25213919999077)</f>
        <v>1.2521392</v>
      </c>
    </row>
    <row r="384">
      <c r="A384" s="6" t="str">
        <f t="shared" si="2"/>
        <v>P2</v>
      </c>
      <c r="B384" s="2">
        <v>189.0</v>
      </c>
      <c r="C384" s="2" t="s">
        <v>944</v>
      </c>
      <c r="D384" s="2" t="s">
        <v>13</v>
      </c>
      <c r="E384" s="2">
        <v>5.0</v>
      </c>
      <c r="F384" s="6">
        <f>IFERROR(__xludf.DUMMYFUNCTION("""COMPUTED_VALUE"""),2.11434049997478)</f>
        <v>2.1143405</v>
      </c>
    </row>
    <row r="385">
      <c r="A385" s="6" t="str">
        <f t="shared" si="2"/>
        <v>P2</v>
      </c>
      <c r="B385" s="2">
        <v>190.0</v>
      </c>
      <c r="C385" s="2" t="s">
        <v>949</v>
      </c>
      <c r="D385" s="2" t="s">
        <v>13</v>
      </c>
      <c r="E385" s="2">
        <v>10.0</v>
      </c>
      <c r="F385" s="6">
        <f>IFERROR(__xludf.DUMMYFUNCTION("""COMPUTED_VALUE"""),4.85220030008349)</f>
        <v>4.8522003</v>
      </c>
    </row>
    <row r="386">
      <c r="A386" s="6" t="str">
        <f t="shared" si="2"/>
        <v>P2</v>
      </c>
      <c r="B386" s="2">
        <v>191.0</v>
      </c>
      <c r="C386" s="2" t="s">
        <v>953</v>
      </c>
      <c r="D386" s="2" t="s">
        <v>13</v>
      </c>
      <c r="E386" s="2">
        <v>5.0</v>
      </c>
      <c r="F386" s="6">
        <f>IFERROR(__xludf.DUMMYFUNCTION("""COMPUTED_VALUE"""),1.28549180005211)</f>
        <v>1.2854918</v>
      </c>
    </row>
    <row r="387">
      <c r="A387" s="6" t="str">
        <f t="shared" si="2"/>
        <v>P2</v>
      </c>
      <c r="B387" s="2">
        <v>192.0</v>
      </c>
      <c r="C387" s="2" t="s">
        <v>957</v>
      </c>
      <c r="D387" s="2" t="s">
        <v>13</v>
      </c>
      <c r="E387" s="2">
        <v>5.0</v>
      </c>
      <c r="F387" s="6">
        <f>IFERROR(__xludf.DUMMYFUNCTION("""COMPUTED_VALUE"""),1.66820289997849)</f>
        <v>1.6682029</v>
      </c>
    </row>
    <row r="388">
      <c r="A388" s="6" t="str">
        <f t="shared" si="2"/>
        <v>P2</v>
      </c>
      <c r="B388" s="2">
        <v>193.0</v>
      </c>
      <c r="C388" s="2" t="s">
        <v>962</v>
      </c>
      <c r="D388" s="2" t="s">
        <v>13</v>
      </c>
      <c r="E388" s="2">
        <v>5.0</v>
      </c>
      <c r="F388" s="6">
        <f>IFERROR(__xludf.DUMMYFUNCTION("""COMPUTED_VALUE"""),1.39830240001901)</f>
        <v>1.3983024</v>
      </c>
    </row>
    <row r="389">
      <c r="A389" s="6" t="str">
        <f t="shared" si="2"/>
        <v>P2</v>
      </c>
      <c r="B389" s="2">
        <v>194.0</v>
      </c>
      <c r="C389" s="2" t="s">
        <v>967</v>
      </c>
      <c r="D389" s="2" t="s">
        <v>13</v>
      </c>
      <c r="E389" s="2">
        <v>10.0</v>
      </c>
      <c r="F389" s="6">
        <f>IFERROR(__xludf.DUMMYFUNCTION("""COMPUTED_VALUE"""),1.58428309997543)</f>
        <v>1.5842831</v>
      </c>
    </row>
    <row r="390">
      <c r="A390" s="6" t="str">
        <f t="shared" si="2"/>
        <v>P2</v>
      </c>
      <c r="B390" s="2">
        <v>195.0</v>
      </c>
      <c r="C390" s="2" t="s">
        <v>972</v>
      </c>
      <c r="D390" s="2" t="s">
        <v>13</v>
      </c>
      <c r="E390" s="2">
        <v>10.0</v>
      </c>
      <c r="F390" s="6">
        <f>IFERROR(__xludf.DUMMYFUNCTION("""COMPUTED_VALUE"""),1.70235439995303)</f>
        <v>1.7023544</v>
      </c>
    </row>
    <row r="391">
      <c r="A391" s="6" t="str">
        <f t="shared" si="2"/>
        <v>P2</v>
      </c>
      <c r="B391" s="2">
        <v>196.0</v>
      </c>
      <c r="C391" s="2" t="s">
        <v>977</v>
      </c>
      <c r="D391" s="2" t="s">
        <v>13</v>
      </c>
      <c r="E391" s="2">
        <v>10.0</v>
      </c>
      <c r="F391" s="6">
        <f>IFERROR(__xludf.DUMMYFUNCTION("""COMPUTED_VALUE"""),1.26931590004824)</f>
        <v>1.2693159</v>
      </c>
    </row>
    <row r="392">
      <c r="A392" s="6" t="str">
        <f t="shared" si="2"/>
        <v>P2</v>
      </c>
      <c r="B392" s="2">
        <v>197.0</v>
      </c>
      <c r="C392" s="2" t="s">
        <v>982</v>
      </c>
      <c r="D392" s="2" t="s">
        <v>13</v>
      </c>
      <c r="E392" s="2">
        <v>10.0</v>
      </c>
      <c r="F392" s="6">
        <f>IFERROR(__xludf.DUMMYFUNCTION("""COMPUTED_VALUE"""),1.16857679991517)</f>
        <v>1.1685768</v>
      </c>
    </row>
    <row r="393">
      <c r="A393" s="6" t="str">
        <f t="shared" si="2"/>
        <v>P2</v>
      </c>
      <c r="B393" s="2">
        <v>198.0</v>
      </c>
      <c r="C393" s="2" t="s">
        <v>987</v>
      </c>
      <c r="D393" s="2" t="s">
        <v>13</v>
      </c>
      <c r="E393" s="2">
        <v>5.0</v>
      </c>
      <c r="F393" s="6">
        <f>IFERROR(__xludf.DUMMYFUNCTION("""COMPUTED_VALUE"""),1.31758119992446)</f>
        <v>1.3175812</v>
      </c>
    </row>
    <row r="394">
      <c r="A394" s="6" t="str">
        <f t="shared" si="2"/>
        <v>P2</v>
      </c>
      <c r="B394" s="2">
        <v>199.0</v>
      </c>
      <c r="C394" s="2" t="s">
        <v>992</v>
      </c>
      <c r="D394" s="2" t="s">
        <v>13</v>
      </c>
      <c r="E394" s="2">
        <v>10.0</v>
      </c>
      <c r="F394" s="6">
        <f>IFERROR(__xludf.DUMMYFUNCTION("""COMPUTED_VALUE"""),3.20157829998061)</f>
        <v>3.2015783</v>
      </c>
    </row>
    <row r="395">
      <c r="A395" s="6" t="str">
        <f t="shared" si="2"/>
        <v>P2</v>
      </c>
      <c r="B395" s="2">
        <v>0.0</v>
      </c>
      <c r="C395" s="2" t="s">
        <v>15</v>
      </c>
      <c r="D395" s="2" t="s">
        <v>13</v>
      </c>
      <c r="E395" s="2">
        <v>10.0</v>
      </c>
      <c r="F395" s="6">
        <f>IFERROR(__xludf.DUMMYFUNCTION("""COMPUTED_VALUE"""),5.51453769998624)</f>
        <v>5.5145377</v>
      </c>
    </row>
    <row r="396">
      <c r="A396" s="6" t="str">
        <f t="shared" si="2"/>
        <v>P2</v>
      </c>
      <c r="B396" s="2">
        <v>1.0</v>
      </c>
      <c r="C396" s="2" t="s">
        <v>21</v>
      </c>
      <c r="D396" s="2" t="s">
        <v>13</v>
      </c>
      <c r="E396" s="2">
        <v>10.0</v>
      </c>
      <c r="F396" s="6">
        <f>IFERROR(__xludf.DUMMYFUNCTION("""COMPUTED_VALUE"""),1.75775720004457)</f>
        <v>1.7577572</v>
      </c>
    </row>
    <row r="397">
      <c r="A397" s="6" t="str">
        <f t="shared" si="2"/>
        <v>P2</v>
      </c>
      <c r="B397" s="2">
        <v>2.0</v>
      </c>
      <c r="C397" s="2" t="s">
        <v>26</v>
      </c>
      <c r="D397" s="2" t="s">
        <v>13</v>
      </c>
      <c r="E397" s="2">
        <v>10.0</v>
      </c>
      <c r="F397" s="6">
        <f>IFERROR(__xludf.DUMMYFUNCTION("""COMPUTED_VALUE"""),2.40363980003166)</f>
        <v>2.4036398</v>
      </c>
    </row>
    <row r="398">
      <c r="A398" s="6" t="str">
        <f t="shared" si="2"/>
        <v>P2</v>
      </c>
      <c r="B398" s="2">
        <v>3.0</v>
      </c>
      <c r="C398" s="2" t="s">
        <v>31</v>
      </c>
      <c r="D398" s="2" t="s">
        <v>13</v>
      </c>
      <c r="E398" s="2">
        <v>10.0</v>
      </c>
      <c r="F398" s="6">
        <f>IFERROR(__xludf.DUMMYFUNCTION("""COMPUTED_VALUE"""),1.35113750002346)</f>
        <v>1.3511375</v>
      </c>
    </row>
    <row r="399">
      <c r="A399" s="6" t="str">
        <f t="shared" si="2"/>
        <v>P2</v>
      </c>
      <c r="B399" s="2">
        <v>4.0</v>
      </c>
      <c r="C399" s="2" t="s">
        <v>36</v>
      </c>
      <c r="D399" s="2" t="s">
        <v>13</v>
      </c>
      <c r="E399" s="2">
        <v>10.0</v>
      </c>
      <c r="F399" s="6">
        <f>IFERROR(__xludf.DUMMYFUNCTION("""COMPUTED_VALUE"""),1.65325329999905)</f>
        <v>1.6532533</v>
      </c>
    </row>
    <row r="400">
      <c r="A400" s="6" t="str">
        <f t="shared" si="2"/>
        <v>P2</v>
      </c>
      <c r="B400" s="2">
        <v>5.0</v>
      </c>
      <c r="C400" s="2" t="s">
        <v>41</v>
      </c>
      <c r="D400" s="2" t="s">
        <v>13</v>
      </c>
      <c r="E400" s="2">
        <v>10.0</v>
      </c>
      <c r="F400" s="6">
        <f>IFERROR(__xludf.DUMMYFUNCTION("""COMPUTED_VALUE"""),2.16392520000226)</f>
        <v>2.1639252</v>
      </c>
    </row>
    <row r="401">
      <c r="A401" s="6" t="str">
        <f t="shared" si="2"/>
        <v>P2</v>
      </c>
      <c r="B401" s="2">
        <v>6.0</v>
      </c>
      <c r="C401" s="2" t="s">
        <v>46</v>
      </c>
      <c r="D401" s="2" t="s">
        <v>13</v>
      </c>
      <c r="E401" s="2">
        <v>5.0</v>
      </c>
      <c r="F401" s="6">
        <f>IFERROR(__xludf.DUMMYFUNCTION("""COMPUTED_VALUE"""),1.24759409995749)</f>
        <v>1.2475941</v>
      </c>
    </row>
    <row r="402">
      <c r="A402" s="6" t="str">
        <f t="shared" ref="A402:A589" si="3"> "P3"</f>
        <v>P3</v>
      </c>
      <c r="B402" s="2">
        <v>7.0</v>
      </c>
      <c r="C402" s="2" t="s">
        <v>51</v>
      </c>
      <c r="D402" s="2" t="s">
        <v>13</v>
      </c>
      <c r="E402" s="2">
        <v>5.0</v>
      </c>
      <c r="F402" s="6">
        <f>IFERROR(__xludf.DUMMYFUNCTION("""COMPUTED_VALUE"""),1.18521329993382)</f>
        <v>1.1852133</v>
      </c>
    </row>
    <row r="403">
      <c r="A403" s="6" t="str">
        <f t="shared" si="3"/>
        <v>P3</v>
      </c>
      <c r="B403" s="2">
        <v>8.0</v>
      </c>
      <c r="C403" s="2" t="s">
        <v>56</v>
      </c>
      <c r="D403" s="2" t="s">
        <v>13</v>
      </c>
      <c r="E403" s="2">
        <v>5.0</v>
      </c>
      <c r="F403" s="6">
        <f>IFERROR(__xludf.DUMMYFUNCTION("""COMPUTED_VALUE"""),1.13487249996978)</f>
        <v>1.1348725</v>
      </c>
    </row>
    <row r="404">
      <c r="A404" s="6" t="str">
        <f t="shared" si="3"/>
        <v>P3</v>
      </c>
      <c r="B404" s="2">
        <v>9.0</v>
      </c>
      <c r="C404" s="2" t="s">
        <v>61</v>
      </c>
      <c r="D404" s="2" t="s">
        <v>13</v>
      </c>
      <c r="E404" s="2">
        <v>10.0</v>
      </c>
      <c r="F404" s="6">
        <f>IFERROR(__xludf.DUMMYFUNCTION("""COMPUTED_VALUE"""),1.31758120004087)</f>
        <v>1.3175812</v>
      </c>
    </row>
    <row r="405">
      <c r="A405" s="6" t="str">
        <f t="shared" si="3"/>
        <v>P3</v>
      </c>
      <c r="B405" s="2">
        <v>10.0</v>
      </c>
      <c r="C405" s="2" t="s">
        <v>66</v>
      </c>
      <c r="D405" s="2" t="s">
        <v>13</v>
      </c>
      <c r="E405" s="2">
        <v>10.0</v>
      </c>
      <c r="F405" s="6">
        <f>IFERROR(__xludf.DUMMYFUNCTION("""COMPUTED_VALUE"""),1.65254259994253)</f>
        <v>1.6525426</v>
      </c>
    </row>
    <row r="406">
      <c r="A406" s="6" t="str">
        <f t="shared" si="3"/>
        <v>P3</v>
      </c>
      <c r="B406" s="2">
        <v>11.0</v>
      </c>
      <c r="C406" s="2" t="s">
        <v>71</v>
      </c>
      <c r="D406" s="2" t="s">
        <v>13</v>
      </c>
      <c r="E406" s="2">
        <v>5.0</v>
      </c>
      <c r="F406" s="6">
        <f>IFERROR(__xludf.DUMMYFUNCTION("""COMPUTED_VALUE"""),1.762678100029)</f>
        <v>1.7626781</v>
      </c>
    </row>
    <row r="407">
      <c r="A407" s="6" t="str">
        <f t="shared" si="3"/>
        <v>P3</v>
      </c>
      <c r="B407" s="2">
        <v>12.0</v>
      </c>
      <c r="C407" s="2" t="s">
        <v>75</v>
      </c>
      <c r="D407" s="2" t="s">
        <v>13</v>
      </c>
      <c r="E407" s="2">
        <v>5.0</v>
      </c>
      <c r="F407" s="6">
        <f>IFERROR(__xludf.DUMMYFUNCTION("""COMPUTED_VALUE"""),1.21411570010241)</f>
        <v>1.2141157</v>
      </c>
    </row>
    <row r="408">
      <c r="A408" s="6" t="str">
        <f t="shared" si="3"/>
        <v>P3</v>
      </c>
      <c r="B408" s="2">
        <v>13.0</v>
      </c>
      <c r="C408" s="2" t="s">
        <v>80</v>
      </c>
      <c r="D408" s="2" t="s">
        <v>13</v>
      </c>
      <c r="E408" s="2">
        <v>10.0</v>
      </c>
      <c r="F408" s="6">
        <f>IFERROR(__xludf.DUMMYFUNCTION("""COMPUTED_VALUE"""),2.40364659996703)</f>
        <v>2.4036466</v>
      </c>
    </row>
    <row r="409">
      <c r="A409" s="6" t="str">
        <f t="shared" si="3"/>
        <v>P3</v>
      </c>
      <c r="B409" s="2">
        <v>14.0</v>
      </c>
      <c r="C409" s="2" t="s">
        <v>85</v>
      </c>
      <c r="D409" s="2" t="s">
        <v>13</v>
      </c>
      <c r="E409" s="2">
        <v>10.0</v>
      </c>
      <c r="F409" s="6">
        <f>IFERROR(__xludf.DUMMYFUNCTION("""COMPUTED_VALUE"""),3.204634899972)</f>
        <v>3.2046349</v>
      </c>
    </row>
    <row r="410">
      <c r="A410" s="6" t="str">
        <f t="shared" si="3"/>
        <v>P3</v>
      </c>
      <c r="B410" s="2">
        <v>15.0</v>
      </c>
      <c r="C410" s="2" t="s">
        <v>90</v>
      </c>
      <c r="D410" s="2" t="s">
        <v>13</v>
      </c>
      <c r="E410" s="2">
        <v>10.0</v>
      </c>
      <c r="F410" s="6">
        <f>IFERROR(__xludf.DUMMYFUNCTION("""COMPUTED_VALUE"""),1.18274359998758)</f>
        <v>1.1827436</v>
      </c>
    </row>
    <row r="411">
      <c r="A411" s="6" t="str">
        <f t="shared" si="3"/>
        <v>P3</v>
      </c>
      <c r="B411" s="2">
        <v>16.0</v>
      </c>
      <c r="C411" s="2" t="s">
        <v>95</v>
      </c>
      <c r="D411" s="2" t="s">
        <v>13</v>
      </c>
      <c r="E411" s="2">
        <v>10.0</v>
      </c>
      <c r="F411" s="6">
        <f>IFERROR(__xludf.DUMMYFUNCTION("""COMPUTED_VALUE"""),1.00127670005895)</f>
        <v>1.0012767</v>
      </c>
    </row>
    <row r="412">
      <c r="A412" s="6" t="str">
        <f t="shared" si="3"/>
        <v>P3</v>
      </c>
      <c r="B412" s="2">
        <v>17.0</v>
      </c>
      <c r="C412" s="2" t="s">
        <v>99</v>
      </c>
      <c r="D412" s="2" t="s">
        <v>13</v>
      </c>
      <c r="E412" s="2">
        <v>5.0</v>
      </c>
      <c r="F412" s="6">
        <f>IFERROR(__xludf.DUMMYFUNCTION("""COMPUTED_VALUE"""),1.41762269998434)</f>
        <v>1.4176227</v>
      </c>
    </row>
    <row r="413">
      <c r="A413" s="6" t="str">
        <f t="shared" si="3"/>
        <v>P3</v>
      </c>
      <c r="B413" s="2">
        <v>18.0</v>
      </c>
      <c r="C413" s="2" t="s">
        <v>104</v>
      </c>
      <c r="D413" s="2" t="s">
        <v>13</v>
      </c>
      <c r="E413" s="2">
        <v>5.0</v>
      </c>
      <c r="F413" s="6">
        <f>IFERROR(__xludf.DUMMYFUNCTION("""COMPUTED_VALUE"""),0.962612799950875)</f>
        <v>0.9626128</v>
      </c>
    </row>
    <row r="414">
      <c r="A414" s="6" t="str">
        <f t="shared" si="3"/>
        <v>P3</v>
      </c>
      <c r="B414" s="2">
        <v>19.0</v>
      </c>
      <c r="C414" s="2" t="s">
        <v>109</v>
      </c>
      <c r="D414" s="2" t="s">
        <v>13</v>
      </c>
      <c r="E414" s="2">
        <v>10.0</v>
      </c>
      <c r="F414" s="6">
        <f>IFERROR(__xludf.DUMMYFUNCTION("""COMPUTED_VALUE"""),2.85461449995636)</f>
        <v>2.8546145</v>
      </c>
    </row>
    <row r="415">
      <c r="A415" s="6" t="str">
        <f t="shared" si="3"/>
        <v>P3</v>
      </c>
      <c r="B415" s="2">
        <v>20.0</v>
      </c>
      <c r="C415" s="2" t="s">
        <v>114</v>
      </c>
      <c r="D415" s="2" t="s">
        <v>13</v>
      </c>
      <c r="E415" s="2">
        <v>5.0</v>
      </c>
      <c r="F415" s="6">
        <f>IFERROR(__xludf.DUMMYFUNCTION("""COMPUTED_VALUE"""),1.14964870002586)</f>
        <v>1.1496487</v>
      </c>
    </row>
    <row r="416">
      <c r="A416" s="6" t="str">
        <f t="shared" si="3"/>
        <v>P3</v>
      </c>
      <c r="B416" s="2">
        <v>21.0</v>
      </c>
      <c r="C416" s="2" t="s">
        <v>119</v>
      </c>
      <c r="D416" s="2" t="s">
        <v>13</v>
      </c>
      <c r="E416" s="2">
        <v>5.0</v>
      </c>
      <c r="F416" s="6">
        <f>IFERROR(__xludf.DUMMYFUNCTION("""COMPUTED_VALUE"""),1.59724310005549)</f>
        <v>1.5972431</v>
      </c>
    </row>
    <row r="417">
      <c r="A417" s="6" t="str">
        <f t="shared" si="3"/>
        <v>P3</v>
      </c>
      <c r="B417" s="2">
        <v>22.0</v>
      </c>
      <c r="C417" s="2" t="s">
        <v>124</v>
      </c>
      <c r="D417" s="2" t="s">
        <v>13</v>
      </c>
      <c r="E417" s="2">
        <v>10.0</v>
      </c>
      <c r="F417" s="6">
        <f>IFERROR(__xludf.DUMMYFUNCTION("""COMPUTED_VALUE"""),1.21991119999438)</f>
        <v>1.2199112</v>
      </c>
    </row>
    <row r="418">
      <c r="A418" s="6" t="str">
        <f t="shared" si="3"/>
        <v>P3</v>
      </c>
      <c r="B418" s="2">
        <v>23.0</v>
      </c>
      <c r="C418" s="2" t="s">
        <v>128</v>
      </c>
      <c r="D418" s="2" t="s">
        <v>13</v>
      </c>
      <c r="E418" s="2">
        <v>5.0</v>
      </c>
      <c r="F418" s="6">
        <f>IFERROR(__xludf.DUMMYFUNCTION("""COMPUTED_VALUE"""),0.98147020000033)</f>
        <v>0.9814702</v>
      </c>
    </row>
    <row r="419">
      <c r="A419" s="6" t="str">
        <f t="shared" si="3"/>
        <v>P3</v>
      </c>
      <c r="B419" s="2">
        <v>24.0</v>
      </c>
      <c r="C419" s="2" t="s">
        <v>133</v>
      </c>
      <c r="D419" s="2" t="s">
        <v>13</v>
      </c>
      <c r="E419" s="2">
        <v>5.0</v>
      </c>
      <c r="F419" s="6">
        <f>IFERROR(__xludf.DUMMYFUNCTION("""COMPUTED_VALUE"""),1.72851699998136)</f>
        <v>1.728517</v>
      </c>
    </row>
    <row r="420">
      <c r="A420" s="6" t="str">
        <f t="shared" si="3"/>
        <v>P3</v>
      </c>
      <c r="B420" s="2">
        <v>25.0</v>
      </c>
      <c r="C420" s="2" t="s">
        <v>138</v>
      </c>
      <c r="D420" s="2" t="s">
        <v>13</v>
      </c>
      <c r="E420" s="2">
        <v>5.0</v>
      </c>
      <c r="F420" s="6">
        <f>IFERROR(__xludf.DUMMYFUNCTION("""COMPUTED_VALUE"""),2.78443550004158)</f>
        <v>2.7844355</v>
      </c>
    </row>
    <row r="421">
      <c r="A421" s="6" t="str">
        <f t="shared" si="3"/>
        <v>P3</v>
      </c>
      <c r="B421" s="2">
        <v>26.0</v>
      </c>
      <c r="C421" s="2" t="s">
        <v>143</v>
      </c>
      <c r="D421" s="2" t="s">
        <v>13</v>
      </c>
      <c r="E421" s="2">
        <v>10.0</v>
      </c>
      <c r="F421" s="6">
        <f>IFERROR(__xludf.DUMMYFUNCTION("""COMPUTED_VALUE"""),2.53325550002045)</f>
        <v>2.5332555</v>
      </c>
    </row>
    <row r="422">
      <c r="A422" s="6" t="str">
        <f t="shared" si="3"/>
        <v>P3</v>
      </c>
      <c r="B422" s="2">
        <v>27.0</v>
      </c>
      <c r="C422" s="2" t="s">
        <v>148</v>
      </c>
      <c r="D422" s="2" t="s">
        <v>13</v>
      </c>
      <c r="E422" s="2">
        <v>10.0</v>
      </c>
      <c r="F422" s="6">
        <f>IFERROR(__xludf.DUMMYFUNCTION("""COMPUTED_VALUE"""),1.33937479997985)</f>
        <v>1.3393748</v>
      </c>
    </row>
    <row r="423">
      <c r="A423" s="6" t="str">
        <f t="shared" si="3"/>
        <v>P3</v>
      </c>
      <c r="B423" s="2">
        <v>28.0</v>
      </c>
      <c r="C423" s="2" t="s">
        <v>153</v>
      </c>
      <c r="D423" s="2" t="s">
        <v>13</v>
      </c>
      <c r="E423" s="2">
        <v>10.0</v>
      </c>
      <c r="F423" s="6">
        <f>IFERROR(__xludf.DUMMYFUNCTION("""COMPUTED_VALUE"""),3.73896760004572)</f>
        <v>3.7389676</v>
      </c>
    </row>
    <row r="424">
      <c r="A424" s="6" t="str">
        <f t="shared" si="3"/>
        <v>P3</v>
      </c>
      <c r="B424" s="2">
        <v>29.0</v>
      </c>
      <c r="C424" s="2" t="s">
        <v>158</v>
      </c>
      <c r="D424" s="2" t="s">
        <v>13</v>
      </c>
      <c r="E424" s="2">
        <v>5.0</v>
      </c>
      <c r="F424" s="6">
        <f>IFERROR(__xludf.DUMMYFUNCTION("""COMPUTED_VALUE"""),1.36675129993818)</f>
        <v>1.3667513</v>
      </c>
    </row>
    <row r="425">
      <c r="A425" s="6" t="str">
        <f t="shared" si="3"/>
        <v>P3</v>
      </c>
      <c r="B425" s="2">
        <v>30.0</v>
      </c>
      <c r="C425" s="2" t="s">
        <v>163</v>
      </c>
      <c r="D425" s="2" t="s">
        <v>13</v>
      </c>
      <c r="E425" s="2">
        <v>5.0</v>
      </c>
      <c r="F425" s="6">
        <f>IFERROR(__xludf.DUMMYFUNCTION("""COMPUTED_VALUE"""),1.94968249998055)</f>
        <v>1.9496825</v>
      </c>
    </row>
    <row r="426">
      <c r="A426" s="6" t="str">
        <f t="shared" si="3"/>
        <v>P3</v>
      </c>
      <c r="B426" s="2">
        <v>31.0</v>
      </c>
      <c r="C426" s="2" t="s">
        <v>168</v>
      </c>
      <c r="D426" s="2" t="s">
        <v>13</v>
      </c>
      <c r="E426" s="2">
        <v>5.0</v>
      </c>
      <c r="F426" s="6">
        <f>IFERROR(__xludf.DUMMYFUNCTION("""COMPUTED_VALUE"""),6.01498480001464)</f>
        <v>6.0149848</v>
      </c>
    </row>
    <row r="427">
      <c r="A427" s="6" t="str">
        <f t="shared" si="3"/>
        <v>P3</v>
      </c>
      <c r="B427" s="2">
        <v>32.0</v>
      </c>
      <c r="C427" s="2" t="s">
        <v>173</v>
      </c>
      <c r="D427" s="2" t="s">
        <v>13</v>
      </c>
      <c r="E427" s="2">
        <v>5.0</v>
      </c>
      <c r="F427" s="6">
        <f>IFERROR(__xludf.DUMMYFUNCTION("""COMPUTED_VALUE"""),1.39778760005719)</f>
        <v>1.3977876</v>
      </c>
    </row>
    <row r="428">
      <c r="A428" s="6" t="str">
        <f t="shared" si="3"/>
        <v>P3</v>
      </c>
      <c r="B428" s="2">
        <v>33.0</v>
      </c>
      <c r="C428" s="2" t="s">
        <v>178</v>
      </c>
      <c r="D428" s="2" t="s">
        <v>13</v>
      </c>
      <c r="E428" s="2">
        <v>10.0</v>
      </c>
      <c r="F428" s="6">
        <f>IFERROR(__xludf.DUMMYFUNCTION("""COMPUTED_VALUE"""),1.42999880004208)</f>
        <v>1.4299988</v>
      </c>
    </row>
    <row r="429">
      <c r="A429" s="6" t="str">
        <f t="shared" si="3"/>
        <v>P3</v>
      </c>
      <c r="B429" s="2">
        <v>34.0</v>
      </c>
      <c r="C429" s="2" t="s">
        <v>183</v>
      </c>
      <c r="D429" s="2" t="s">
        <v>13</v>
      </c>
      <c r="E429" s="2">
        <v>5.0</v>
      </c>
      <c r="F429" s="6">
        <f>IFERROR(__xludf.DUMMYFUNCTION("""COMPUTED_VALUE"""),1.21408950001932)</f>
        <v>1.2140895</v>
      </c>
    </row>
    <row r="430">
      <c r="A430" s="6" t="str">
        <f t="shared" si="3"/>
        <v>P3</v>
      </c>
      <c r="B430" s="2">
        <v>35.0</v>
      </c>
      <c r="C430" s="2" t="s">
        <v>188</v>
      </c>
      <c r="D430" s="2" t="s">
        <v>13</v>
      </c>
      <c r="E430" s="2">
        <v>5.0</v>
      </c>
      <c r="F430" s="6">
        <f>IFERROR(__xludf.DUMMYFUNCTION("""COMPUTED_VALUE"""),1.33301379997283)</f>
        <v>1.3330138</v>
      </c>
    </row>
    <row r="431">
      <c r="A431" s="6" t="str">
        <f t="shared" si="3"/>
        <v>P3</v>
      </c>
      <c r="B431" s="2">
        <v>36.0</v>
      </c>
      <c r="C431" s="2" t="s">
        <v>193</v>
      </c>
      <c r="D431" s="2" t="s">
        <v>13</v>
      </c>
      <c r="E431" s="2">
        <v>5.0</v>
      </c>
      <c r="F431" s="6">
        <f>IFERROR(__xludf.DUMMYFUNCTION("""COMPUTED_VALUE"""),1.46314240002539)</f>
        <v>1.4631424</v>
      </c>
    </row>
    <row r="432">
      <c r="A432" s="6" t="str">
        <f t="shared" si="3"/>
        <v>P3</v>
      </c>
      <c r="B432" s="2">
        <v>37.0</v>
      </c>
      <c r="C432" s="2" t="s">
        <v>198</v>
      </c>
      <c r="D432" s="2" t="s">
        <v>13</v>
      </c>
      <c r="E432" s="2">
        <v>5.0</v>
      </c>
      <c r="F432" s="6">
        <f>IFERROR(__xludf.DUMMYFUNCTION("""COMPUTED_VALUE"""),1.38037879997864)</f>
        <v>1.3803788</v>
      </c>
    </row>
    <row r="433">
      <c r="A433" s="6" t="str">
        <f t="shared" si="3"/>
        <v>P3</v>
      </c>
      <c r="B433" s="2">
        <v>38.0</v>
      </c>
      <c r="C433" s="2" t="s">
        <v>203</v>
      </c>
      <c r="D433" s="2" t="s">
        <v>13</v>
      </c>
      <c r="E433" s="2">
        <v>5.0</v>
      </c>
      <c r="F433" s="6">
        <f>IFERROR(__xludf.DUMMYFUNCTION("""COMPUTED_VALUE"""),1.05044779996387)</f>
        <v>1.0504478</v>
      </c>
    </row>
    <row r="434">
      <c r="A434" s="6" t="str">
        <f t="shared" si="3"/>
        <v>P3</v>
      </c>
      <c r="B434" s="2">
        <v>39.0</v>
      </c>
      <c r="C434" s="2" t="s">
        <v>208</v>
      </c>
      <c r="D434" s="2" t="s">
        <v>13</v>
      </c>
      <c r="E434" s="2">
        <v>10.0</v>
      </c>
      <c r="F434" s="6">
        <f>IFERROR(__xludf.DUMMYFUNCTION("""COMPUTED_VALUE"""),3.85229629999958)</f>
        <v>3.8522963</v>
      </c>
    </row>
    <row r="435">
      <c r="A435" s="6" t="str">
        <f t="shared" si="3"/>
        <v>P3</v>
      </c>
      <c r="B435" s="2">
        <v>40.0</v>
      </c>
      <c r="C435" s="2" t="s">
        <v>213</v>
      </c>
      <c r="D435" s="2" t="s">
        <v>13</v>
      </c>
      <c r="E435" s="2">
        <v>5.0</v>
      </c>
      <c r="F435" s="6">
        <f>IFERROR(__xludf.DUMMYFUNCTION("""COMPUTED_VALUE"""),0.911772900028154)</f>
        <v>0.9117729</v>
      </c>
    </row>
    <row r="436">
      <c r="A436" s="6" t="str">
        <f t="shared" si="3"/>
        <v>P3</v>
      </c>
      <c r="B436" s="2">
        <v>41.0</v>
      </c>
      <c r="C436" s="2" t="s">
        <v>218</v>
      </c>
      <c r="D436" s="2" t="s">
        <v>13</v>
      </c>
      <c r="E436" s="2">
        <v>5.0</v>
      </c>
      <c r="F436" s="6">
        <f>IFERROR(__xludf.DUMMYFUNCTION("""COMPUTED_VALUE"""),2.28838669997639)</f>
        <v>2.2883867</v>
      </c>
    </row>
    <row r="437">
      <c r="A437" s="6" t="str">
        <f t="shared" si="3"/>
        <v>P3</v>
      </c>
      <c r="B437" s="2">
        <v>42.0</v>
      </c>
      <c r="C437" s="2" t="s">
        <v>223</v>
      </c>
      <c r="D437" s="2" t="s">
        <v>13</v>
      </c>
      <c r="E437" s="2">
        <v>10.0</v>
      </c>
      <c r="F437" s="6">
        <f>IFERROR(__xludf.DUMMYFUNCTION("""COMPUTED_VALUE"""),2.03628270002082)</f>
        <v>2.0362827</v>
      </c>
    </row>
    <row r="438">
      <c r="A438" s="6" t="str">
        <f t="shared" si="3"/>
        <v>P3</v>
      </c>
      <c r="B438" s="2">
        <v>43.0</v>
      </c>
      <c r="C438" s="2" t="s">
        <v>228</v>
      </c>
      <c r="D438" s="2" t="s">
        <v>13</v>
      </c>
      <c r="E438" s="2">
        <v>10.0</v>
      </c>
      <c r="F438" s="6">
        <f>IFERROR(__xludf.DUMMYFUNCTION("""COMPUTED_VALUE"""),1.96689929999411)</f>
        <v>1.9668993</v>
      </c>
    </row>
    <row r="439">
      <c r="A439" s="6" t="str">
        <f t="shared" si="3"/>
        <v>P3</v>
      </c>
      <c r="B439" s="2">
        <v>44.0</v>
      </c>
      <c r="C439" s="2" t="s">
        <v>233</v>
      </c>
      <c r="D439" s="2" t="s">
        <v>13</v>
      </c>
      <c r="E439" s="2">
        <v>10.0</v>
      </c>
      <c r="F439" s="6">
        <f>IFERROR(__xludf.DUMMYFUNCTION("""COMPUTED_VALUE"""),1.56743220007047)</f>
        <v>1.5674322</v>
      </c>
    </row>
    <row r="440">
      <c r="A440" s="6" t="str">
        <f t="shared" si="3"/>
        <v>P3</v>
      </c>
      <c r="B440" s="2">
        <v>45.0</v>
      </c>
      <c r="C440" s="2" t="s">
        <v>238</v>
      </c>
      <c r="D440" s="2" t="s">
        <v>13</v>
      </c>
      <c r="E440" s="2">
        <v>5.0</v>
      </c>
      <c r="F440" s="6">
        <f>IFERROR(__xludf.DUMMYFUNCTION("""COMPUTED_VALUE"""),1.79871470003854)</f>
        <v>1.7987147</v>
      </c>
    </row>
    <row r="441">
      <c r="A441" s="6" t="str">
        <f t="shared" si="3"/>
        <v>P3</v>
      </c>
      <c r="B441" s="2">
        <v>46.0</v>
      </c>
      <c r="C441" s="2" t="s">
        <v>243</v>
      </c>
      <c r="D441" s="2" t="s">
        <v>13</v>
      </c>
      <c r="E441" s="2">
        <v>10.0</v>
      </c>
      <c r="F441" s="6">
        <f>IFERROR(__xludf.DUMMYFUNCTION("""COMPUTED_VALUE"""),1.34684080001898)</f>
        <v>1.3468408</v>
      </c>
    </row>
    <row r="442">
      <c r="A442" s="6" t="str">
        <f t="shared" si="3"/>
        <v>P3</v>
      </c>
      <c r="B442" s="2">
        <v>47.0</v>
      </c>
      <c r="C442" s="2" t="s">
        <v>248</v>
      </c>
      <c r="D442" s="2" t="s">
        <v>13</v>
      </c>
      <c r="E442" s="2">
        <v>10.0</v>
      </c>
      <c r="F442" s="6">
        <f>IFERROR(__xludf.DUMMYFUNCTION("""COMPUTED_VALUE"""),1.25636500003747)</f>
        <v>1.256365</v>
      </c>
    </row>
    <row r="443">
      <c r="A443" s="6" t="str">
        <f t="shared" si="3"/>
        <v>P3</v>
      </c>
      <c r="B443" s="2">
        <v>48.0</v>
      </c>
      <c r="C443" s="2" t="s">
        <v>253</v>
      </c>
      <c r="D443" s="2" t="s">
        <v>13</v>
      </c>
      <c r="E443" s="2">
        <v>10.0</v>
      </c>
      <c r="F443" s="6">
        <f>IFERROR(__xludf.DUMMYFUNCTION("""COMPUTED_VALUE"""),1.19730540004093)</f>
        <v>1.1973054</v>
      </c>
    </row>
    <row r="444">
      <c r="A444" s="6" t="str">
        <f t="shared" si="3"/>
        <v>P3</v>
      </c>
      <c r="B444" s="2">
        <v>49.0</v>
      </c>
      <c r="C444" s="2" t="s">
        <v>258</v>
      </c>
      <c r="D444" s="2" t="s">
        <v>13</v>
      </c>
      <c r="E444" s="2">
        <v>5.0</v>
      </c>
      <c r="F444" s="6">
        <f>IFERROR(__xludf.DUMMYFUNCTION("""COMPUTED_VALUE"""),1.18124870001338)</f>
        <v>1.1812487</v>
      </c>
    </row>
    <row r="445">
      <c r="A445" s="6" t="str">
        <f t="shared" si="3"/>
        <v>P3</v>
      </c>
      <c r="B445" s="2">
        <v>50.0</v>
      </c>
      <c r="C445" s="2" t="s">
        <v>263</v>
      </c>
      <c r="D445" s="2" t="s">
        <v>13</v>
      </c>
      <c r="E445" s="2">
        <v>5.0</v>
      </c>
      <c r="F445" s="6">
        <f>IFERROR(__xludf.DUMMYFUNCTION("""COMPUTED_VALUE"""),1.12935699999798)</f>
        <v>1.129357</v>
      </c>
    </row>
    <row r="446">
      <c r="A446" s="6" t="str">
        <f t="shared" si="3"/>
        <v>P3</v>
      </c>
      <c r="B446" s="2">
        <v>51.0</v>
      </c>
      <c r="C446" s="2" t="s">
        <v>268</v>
      </c>
      <c r="D446" s="2" t="s">
        <v>13</v>
      </c>
      <c r="E446" s="2">
        <v>5.0</v>
      </c>
      <c r="F446" s="6">
        <f>IFERROR(__xludf.DUMMYFUNCTION("""COMPUTED_VALUE"""),1.986003399943)</f>
        <v>1.9860034</v>
      </c>
    </row>
    <row r="447">
      <c r="A447" s="6" t="str">
        <f t="shared" si="3"/>
        <v>P3</v>
      </c>
      <c r="B447" s="2">
        <v>52.0</v>
      </c>
      <c r="C447" s="2" t="s">
        <v>273</v>
      </c>
      <c r="D447" s="2" t="s">
        <v>13</v>
      </c>
      <c r="E447" s="2">
        <v>5.0</v>
      </c>
      <c r="F447" s="6">
        <f>IFERROR(__xludf.DUMMYFUNCTION("""COMPUTED_VALUE"""),1.78032899997197)</f>
        <v>1.780329</v>
      </c>
    </row>
    <row r="448">
      <c r="A448" s="6" t="str">
        <f t="shared" si="3"/>
        <v>P3</v>
      </c>
      <c r="B448" s="2">
        <v>53.0</v>
      </c>
      <c r="C448" s="2" t="s">
        <v>278</v>
      </c>
      <c r="D448" s="2" t="s">
        <v>13</v>
      </c>
      <c r="E448" s="2">
        <v>5.0</v>
      </c>
      <c r="F448" s="6">
        <f>IFERROR(__xludf.DUMMYFUNCTION("""COMPUTED_VALUE"""),1.26110340002924)</f>
        <v>1.2611034</v>
      </c>
    </row>
    <row r="449">
      <c r="A449" s="6" t="str">
        <f t="shared" si="3"/>
        <v>P3</v>
      </c>
      <c r="B449" s="2">
        <v>54.0</v>
      </c>
      <c r="C449" s="2" t="s">
        <v>283</v>
      </c>
      <c r="D449" s="2" t="s">
        <v>13</v>
      </c>
      <c r="E449" s="2">
        <v>10.0</v>
      </c>
      <c r="F449" s="6">
        <f>IFERROR(__xludf.DUMMYFUNCTION("""COMPUTED_VALUE"""),2.1448116999818)</f>
        <v>2.1448117</v>
      </c>
    </row>
    <row r="450">
      <c r="A450" s="6" t="str">
        <f t="shared" si="3"/>
        <v>P3</v>
      </c>
      <c r="B450" s="2">
        <v>55.0</v>
      </c>
      <c r="C450" s="2" t="s">
        <v>288</v>
      </c>
      <c r="D450" s="2" t="s">
        <v>13</v>
      </c>
      <c r="E450" s="2">
        <v>10.0</v>
      </c>
      <c r="F450" s="6">
        <f>IFERROR(__xludf.DUMMYFUNCTION("""COMPUTED_VALUE"""),1.09739909996278)</f>
        <v>1.0973991</v>
      </c>
    </row>
    <row r="451">
      <c r="A451" s="6" t="str">
        <f t="shared" si="3"/>
        <v>P3</v>
      </c>
      <c r="B451" s="2">
        <v>56.0</v>
      </c>
      <c r="C451" s="2" t="s">
        <v>293</v>
      </c>
      <c r="D451" s="2" t="s">
        <v>13</v>
      </c>
      <c r="E451" s="2">
        <v>10.0</v>
      </c>
      <c r="F451" s="6">
        <f>IFERROR(__xludf.DUMMYFUNCTION("""COMPUTED_VALUE"""),2.05089750001207)</f>
        <v>2.0508975</v>
      </c>
    </row>
    <row r="452">
      <c r="A452" s="6" t="str">
        <f t="shared" si="3"/>
        <v>P3</v>
      </c>
      <c r="B452" s="2">
        <v>57.0</v>
      </c>
      <c r="C452" s="2" t="s">
        <v>298</v>
      </c>
      <c r="D452" s="2" t="s">
        <v>13</v>
      </c>
      <c r="E452" s="2">
        <v>5.0</v>
      </c>
      <c r="F452" s="6">
        <f>IFERROR(__xludf.DUMMYFUNCTION("""COMPUTED_VALUE"""),1.38719079992733)</f>
        <v>1.3871908</v>
      </c>
    </row>
    <row r="453">
      <c r="A453" s="6" t="str">
        <f t="shared" si="3"/>
        <v>P3</v>
      </c>
      <c r="B453" s="2">
        <v>58.0</v>
      </c>
      <c r="C453" s="2" t="s">
        <v>303</v>
      </c>
      <c r="D453" s="2" t="s">
        <v>13</v>
      </c>
      <c r="E453" s="2">
        <v>5.0</v>
      </c>
      <c r="F453" s="6">
        <f>IFERROR(__xludf.DUMMYFUNCTION("""COMPUTED_VALUE"""),1.31617899995762)</f>
        <v>1.316179</v>
      </c>
    </row>
    <row r="454">
      <c r="A454" s="6" t="str">
        <f t="shared" si="3"/>
        <v>P3</v>
      </c>
      <c r="B454" s="2">
        <v>59.0</v>
      </c>
      <c r="C454" s="2" t="s">
        <v>308</v>
      </c>
      <c r="D454" s="2" t="s">
        <v>13</v>
      </c>
      <c r="E454" s="2">
        <v>5.0</v>
      </c>
      <c r="F454" s="6">
        <f>IFERROR(__xludf.DUMMYFUNCTION("""COMPUTED_VALUE"""),1.42857720004394)</f>
        <v>1.4285772</v>
      </c>
    </row>
    <row r="455">
      <c r="A455" s="6" t="str">
        <f t="shared" si="3"/>
        <v>P3</v>
      </c>
      <c r="B455" s="2">
        <v>60.0</v>
      </c>
      <c r="C455" s="2" t="s">
        <v>313</v>
      </c>
      <c r="D455" s="2" t="s">
        <v>13</v>
      </c>
      <c r="E455" s="2">
        <v>5.0</v>
      </c>
      <c r="F455" s="6">
        <f>IFERROR(__xludf.DUMMYFUNCTION("""COMPUTED_VALUE"""),1.67783689999487)</f>
        <v>1.6778369</v>
      </c>
    </row>
    <row r="456">
      <c r="A456" s="6" t="str">
        <f t="shared" si="3"/>
        <v>P3</v>
      </c>
      <c r="B456" s="2">
        <v>61.0</v>
      </c>
      <c r="C456" s="2" t="s">
        <v>318</v>
      </c>
      <c r="D456" s="2" t="s">
        <v>13</v>
      </c>
      <c r="E456" s="2">
        <v>5.0</v>
      </c>
      <c r="F456" s="6">
        <f>IFERROR(__xludf.DUMMYFUNCTION("""COMPUTED_VALUE"""),1.09601119998842)</f>
        <v>1.0960112</v>
      </c>
    </row>
    <row r="457">
      <c r="A457" s="6" t="str">
        <f t="shared" si="3"/>
        <v>P3</v>
      </c>
      <c r="B457" s="2">
        <v>62.0</v>
      </c>
      <c r="C457" s="2" t="s">
        <v>323</v>
      </c>
      <c r="D457" s="2" t="s">
        <v>13</v>
      </c>
      <c r="E457" s="2">
        <v>5.0</v>
      </c>
      <c r="F457" s="6">
        <f>IFERROR(__xludf.DUMMYFUNCTION("""COMPUTED_VALUE"""),1.03295600006822)</f>
        <v>1.032956</v>
      </c>
    </row>
    <row r="458">
      <c r="A458" s="6" t="str">
        <f t="shared" si="3"/>
        <v>P3</v>
      </c>
      <c r="B458" s="2">
        <v>63.0</v>
      </c>
      <c r="C458" s="2" t="s">
        <v>328</v>
      </c>
      <c r="D458" s="2" t="s">
        <v>13</v>
      </c>
      <c r="E458" s="2">
        <v>10.0</v>
      </c>
      <c r="F458" s="6">
        <f>IFERROR(__xludf.DUMMYFUNCTION("""COMPUTED_VALUE"""),2.98080689995549)</f>
        <v>2.9808069</v>
      </c>
    </row>
    <row r="459">
      <c r="A459" s="6" t="str">
        <f t="shared" si="3"/>
        <v>P3</v>
      </c>
      <c r="B459" s="2">
        <v>64.0</v>
      </c>
      <c r="C459" s="2" t="s">
        <v>333</v>
      </c>
      <c r="D459" s="2" t="s">
        <v>13</v>
      </c>
      <c r="E459" s="2">
        <v>10.0</v>
      </c>
      <c r="F459" s="6">
        <f>IFERROR(__xludf.DUMMYFUNCTION("""COMPUTED_VALUE"""),1.4683681000024)</f>
        <v>1.4683681</v>
      </c>
    </row>
    <row r="460">
      <c r="A460" s="6" t="str">
        <f t="shared" si="3"/>
        <v>P3</v>
      </c>
      <c r="B460" s="2">
        <v>65.0</v>
      </c>
      <c r="C460" s="2" t="s">
        <v>338</v>
      </c>
      <c r="D460" s="2" t="s">
        <v>13</v>
      </c>
      <c r="E460" s="2">
        <v>5.0</v>
      </c>
      <c r="F460" s="6">
        <f>IFERROR(__xludf.DUMMYFUNCTION("""COMPUTED_VALUE"""),1.19351450004614)</f>
        <v>1.1935145</v>
      </c>
    </row>
    <row r="461">
      <c r="A461" s="6" t="str">
        <f t="shared" si="3"/>
        <v>P3</v>
      </c>
      <c r="B461" s="2">
        <v>66.0</v>
      </c>
      <c r="C461" s="2" t="s">
        <v>343</v>
      </c>
      <c r="D461" s="2" t="s">
        <v>13</v>
      </c>
      <c r="E461" s="2">
        <v>5.0</v>
      </c>
      <c r="F461" s="6">
        <f>IFERROR(__xludf.DUMMYFUNCTION("""COMPUTED_VALUE"""),0.858173200045712)</f>
        <v>0.8581732</v>
      </c>
    </row>
    <row r="462">
      <c r="A462" s="6" t="str">
        <f t="shared" si="3"/>
        <v>P3</v>
      </c>
      <c r="B462" s="2">
        <v>67.0</v>
      </c>
      <c r="C462" s="2" t="s">
        <v>348</v>
      </c>
      <c r="D462" s="2" t="s">
        <v>13</v>
      </c>
      <c r="E462" s="2">
        <v>5.0</v>
      </c>
      <c r="F462" s="6">
        <f>IFERROR(__xludf.DUMMYFUNCTION("""COMPUTED_VALUE"""),1.68556140002328)</f>
        <v>1.6855614</v>
      </c>
    </row>
    <row r="463">
      <c r="A463" s="6" t="str">
        <f t="shared" si="3"/>
        <v>P3</v>
      </c>
      <c r="B463" s="2">
        <v>68.0</v>
      </c>
      <c r="C463" s="2" t="s">
        <v>353</v>
      </c>
      <c r="D463" s="2" t="s">
        <v>13</v>
      </c>
      <c r="E463" s="2">
        <v>10.0</v>
      </c>
      <c r="F463" s="6">
        <f>IFERROR(__xludf.DUMMYFUNCTION("""COMPUTED_VALUE"""),1.49671869992744)</f>
        <v>1.4967187</v>
      </c>
    </row>
    <row r="464">
      <c r="A464" s="6" t="str">
        <f t="shared" si="3"/>
        <v>P3</v>
      </c>
      <c r="B464" s="2">
        <v>69.0</v>
      </c>
      <c r="C464" s="2" t="s">
        <v>358</v>
      </c>
      <c r="D464" s="2" t="s">
        <v>13</v>
      </c>
      <c r="E464" s="2">
        <v>5.0</v>
      </c>
      <c r="F464" s="6">
        <f>IFERROR(__xludf.DUMMYFUNCTION("""COMPUTED_VALUE"""),1.98292470001615)</f>
        <v>1.9829247</v>
      </c>
    </row>
    <row r="465">
      <c r="A465" s="6" t="str">
        <f t="shared" si="3"/>
        <v>P3</v>
      </c>
      <c r="B465" s="2">
        <v>70.0</v>
      </c>
      <c r="C465" s="2" t="s">
        <v>363</v>
      </c>
      <c r="D465" s="2" t="s">
        <v>13</v>
      </c>
      <c r="E465" s="2">
        <v>5.0</v>
      </c>
      <c r="F465" s="6">
        <f>IFERROR(__xludf.DUMMYFUNCTION("""COMPUTED_VALUE"""),1.01900730002671)</f>
        <v>1.0190073</v>
      </c>
    </row>
    <row r="466">
      <c r="A466" s="6" t="str">
        <f t="shared" si="3"/>
        <v>P3</v>
      </c>
      <c r="B466" s="2">
        <v>71.0</v>
      </c>
      <c r="C466" s="2" t="s">
        <v>368</v>
      </c>
      <c r="D466" s="2" t="s">
        <v>13</v>
      </c>
      <c r="E466" s="2">
        <v>10.0</v>
      </c>
      <c r="F466" s="6">
        <f>IFERROR(__xludf.DUMMYFUNCTION("""COMPUTED_VALUE"""),2.38911360001657)</f>
        <v>2.3891136</v>
      </c>
    </row>
    <row r="467">
      <c r="A467" s="6" t="str">
        <f t="shared" si="3"/>
        <v>P3</v>
      </c>
      <c r="B467" s="2">
        <v>72.0</v>
      </c>
      <c r="C467" s="2" t="s">
        <v>373</v>
      </c>
      <c r="D467" s="2" t="s">
        <v>13</v>
      </c>
      <c r="E467" s="2">
        <v>5.0</v>
      </c>
      <c r="F467" s="6">
        <f>IFERROR(__xludf.DUMMYFUNCTION("""COMPUTED_VALUE"""),1.69628129992634)</f>
        <v>1.6962813</v>
      </c>
    </row>
    <row r="468">
      <c r="A468" s="6" t="str">
        <f t="shared" si="3"/>
        <v>P3</v>
      </c>
      <c r="B468" s="2">
        <v>74.0</v>
      </c>
      <c r="C468" s="2" t="s">
        <v>382</v>
      </c>
      <c r="D468" s="2" t="s">
        <v>13</v>
      </c>
      <c r="E468" s="2">
        <v>10.0</v>
      </c>
      <c r="F468" s="6">
        <f>IFERROR(__xludf.DUMMYFUNCTION("""COMPUTED_VALUE"""),1.68912559992168)</f>
        <v>1.6891256</v>
      </c>
    </row>
    <row r="469">
      <c r="A469" s="6" t="str">
        <f t="shared" si="3"/>
        <v>P3</v>
      </c>
      <c r="B469" s="2">
        <v>75.0</v>
      </c>
      <c r="C469" s="2" t="s">
        <v>387</v>
      </c>
      <c r="D469" s="2" t="s">
        <v>13</v>
      </c>
      <c r="E469" s="2">
        <v>10.0</v>
      </c>
      <c r="F469" s="6">
        <f>IFERROR(__xludf.DUMMYFUNCTION("""COMPUTED_VALUE"""),1.78485910000745)</f>
        <v>1.7848591</v>
      </c>
    </row>
    <row r="470">
      <c r="A470" s="6" t="str">
        <f t="shared" si="3"/>
        <v>P3</v>
      </c>
      <c r="B470" s="2">
        <v>76.0</v>
      </c>
      <c r="C470" s="2" t="s">
        <v>392</v>
      </c>
      <c r="D470" s="2" t="s">
        <v>13</v>
      </c>
      <c r="E470" s="2">
        <v>10.0</v>
      </c>
      <c r="F470" s="6">
        <f>IFERROR(__xludf.DUMMYFUNCTION("""COMPUTED_VALUE"""),1.68678510002791)</f>
        <v>1.6867851</v>
      </c>
    </row>
    <row r="471">
      <c r="A471" s="6" t="str">
        <f t="shared" si="3"/>
        <v>P3</v>
      </c>
      <c r="B471" s="2">
        <v>77.0</v>
      </c>
      <c r="C471" s="2" t="s">
        <v>397</v>
      </c>
      <c r="D471" s="2" t="s">
        <v>13</v>
      </c>
      <c r="E471" s="2">
        <v>5.0</v>
      </c>
      <c r="F471" s="6">
        <f>IFERROR(__xludf.DUMMYFUNCTION("""COMPUTED_VALUE"""),1.2859195000492)</f>
        <v>1.2859195</v>
      </c>
    </row>
    <row r="472">
      <c r="A472" s="6" t="str">
        <f t="shared" si="3"/>
        <v>P3</v>
      </c>
      <c r="B472" s="2">
        <v>78.0</v>
      </c>
      <c r="C472" s="2" t="s">
        <v>402</v>
      </c>
      <c r="D472" s="2" t="s">
        <v>13</v>
      </c>
      <c r="E472" s="2">
        <v>5.0</v>
      </c>
      <c r="F472" s="6">
        <f>IFERROR(__xludf.DUMMYFUNCTION("""COMPUTED_VALUE"""),1.28639110003132)</f>
        <v>1.2863911</v>
      </c>
    </row>
    <row r="473">
      <c r="A473" s="6" t="str">
        <f t="shared" si="3"/>
        <v>P3</v>
      </c>
      <c r="B473" s="2">
        <v>79.0</v>
      </c>
      <c r="C473" s="2" t="s">
        <v>407</v>
      </c>
      <c r="D473" s="2" t="s">
        <v>13</v>
      </c>
      <c r="E473" s="2">
        <v>5.0</v>
      </c>
      <c r="F473" s="6">
        <f>IFERROR(__xludf.DUMMYFUNCTION("""COMPUTED_VALUE"""),1.11602419998962)</f>
        <v>1.1160242</v>
      </c>
    </row>
    <row r="474">
      <c r="A474" s="6" t="str">
        <f t="shared" si="3"/>
        <v>P3</v>
      </c>
      <c r="B474" s="2">
        <v>80.0</v>
      </c>
      <c r="C474" s="2" t="s">
        <v>412</v>
      </c>
      <c r="D474" s="2" t="s">
        <v>13</v>
      </c>
      <c r="E474" s="2">
        <v>5.0</v>
      </c>
      <c r="F474" s="6">
        <f>IFERROR(__xludf.DUMMYFUNCTION("""COMPUTED_VALUE"""),1.33861249999608)</f>
        <v>1.3386125</v>
      </c>
    </row>
    <row r="475">
      <c r="A475" s="6" t="str">
        <f t="shared" si="3"/>
        <v>P3</v>
      </c>
      <c r="B475" s="2">
        <v>81.0</v>
      </c>
      <c r="C475" s="2" t="s">
        <v>417</v>
      </c>
      <c r="D475" s="2" t="s">
        <v>13</v>
      </c>
      <c r="E475" s="2">
        <v>5.0</v>
      </c>
      <c r="F475" s="6">
        <f>IFERROR(__xludf.DUMMYFUNCTION("""COMPUTED_VALUE"""),1.91558599995914)</f>
        <v>1.915586</v>
      </c>
    </row>
    <row r="476">
      <c r="A476" s="6" t="str">
        <f t="shared" si="3"/>
        <v>P3</v>
      </c>
      <c r="B476" s="2">
        <v>83.0</v>
      </c>
      <c r="C476" s="2" t="s">
        <v>426</v>
      </c>
      <c r="D476" s="2" t="s">
        <v>13</v>
      </c>
      <c r="E476" s="2">
        <v>10.0</v>
      </c>
      <c r="F476" s="6">
        <f>IFERROR(__xludf.DUMMYFUNCTION("""COMPUTED_VALUE"""),1.60666219994891)</f>
        <v>1.6066622</v>
      </c>
    </row>
    <row r="477">
      <c r="A477" s="6" t="str">
        <f t="shared" si="3"/>
        <v>P3</v>
      </c>
      <c r="B477" s="2">
        <v>84.0</v>
      </c>
      <c r="C477" s="2" t="s">
        <v>431</v>
      </c>
      <c r="D477" s="2" t="s">
        <v>13</v>
      </c>
      <c r="E477" s="2">
        <v>10.0</v>
      </c>
      <c r="F477" s="6">
        <f>IFERROR(__xludf.DUMMYFUNCTION("""COMPUTED_VALUE"""),1.16350530006457)</f>
        <v>1.1635053</v>
      </c>
    </row>
    <row r="478">
      <c r="A478" s="6" t="str">
        <f t="shared" si="3"/>
        <v>P3</v>
      </c>
      <c r="B478" s="2">
        <v>85.0</v>
      </c>
      <c r="C478" s="2" t="s">
        <v>436</v>
      </c>
      <c r="D478" s="2" t="s">
        <v>13</v>
      </c>
      <c r="E478" s="2">
        <v>10.0</v>
      </c>
      <c r="F478" s="6">
        <f>IFERROR(__xludf.DUMMYFUNCTION("""COMPUTED_VALUE"""),1.38408379990141)</f>
        <v>1.3840838</v>
      </c>
    </row>
    <row r="479">
      <c r="A479" s="6" t="str">
        <f t="shared" si="3"/>
        <v>P3</v>
      </c>
      <c r="B479" s="2">
        <v>86.0</v>
      </c>
      <c r="C479" s="2" t="s">
        <v>441</v>
      </c>
      <c r="D479" s="2" t="s">
        <v>13</v>
      </c>
      <c r="E479" s="2">
        <v>10.0</v>
      </c>
      <c r="F479" s="6">
        <f>IFERROR(__xludf.DUMMYFUNCTION("""COMPUTED_VALUE"""),1.32348390005063)</f>
        <v>1.3234839</v>
      </c>
    </row>
    <row r="480">
      <c r="A480" s="6" t="str">
        <f t="shared" si="3"/>
        <v>P3</v>
      </c>
      <c r="B480" s="2">
        <v>87.0</v>
      </c>
      <c r="C480" s="2" t="s">
        <v>446</v>
      </c>
      <c r="D480" s="2" t="s">
        <v>13</v>
      </c>
      <c r="E480" s="2">
        <v>5.0</v>
      </c>
      <c r="F480" s="6">
        <f>IFERROR(__xludf.DUMMYFUNCTION("""COMPUTED_VALUE"""),2.02758220001123)</f>
        <v>2.0275822</v>
      </c>
    </row>
    <row r="481">
      <c r="A481" s="6" t="str">
        <f t="shared" si="3"/>
        <v>P3</v>
      </c>
      <c r="B481" s="2">
        <v>88.0</v>
      </c>
      <c r="C481" s="2" t="s">
        <v>451</v>
      </c>
      <c r="D481" s="2" t="s">
        <v>13</v>
      </c>
      <c r="E481" s="2">
        <v>5.0</v>
      </c>
      <c r="F481" s="6">
        <f>IFERROR(__xludf.DUMMYFUNCTION("""COMPUTED_VALUE"""),1.20106380002107)</f>
        <v>1.2010638</v>
      </c>
    </row>
    <row r="482">
      <c r="A482" s="6" t="str">
        <f t="shared" si="3"/>
        <v>P3</v>
      </c>
      <c r="B482" s="2">
        <v>89.0</v>
      </c>
      <c r="C482" s="2" t="s">
        <v>456</v>
      </c>
      <c r="D482" s="2" t="s">
        <v>13</v>
      </c>
      <c r="E482" s="2">
        <v>5.0</v>
      </c>
      <c r="F482" s="6">
        <f>IFERROR(__xludf.DUMMYFUNCTION("""COMPUTED_VALUE"""),1.16383269999641)</f>
        <v>1.1638327</v>
      </c>
    </row>
    <row r="483">
      <c r="A483" s="6" t="str">
        <f t="shared" si="3"/>
        <v>P3</v>
      </c>
      <c r="B483" s="2">
        <v>90.0</v>
      </c>
      <c r="C483" s="2" t="s">
        <v>461</v>
      </c>
      <c r="D483" s="2" t="s">
        <v>13</v>
      </c>
      <c r="E483" s="2">
        <v>10.0</v>
      </c>
      <c r="F483" s="6">
        <f>IFERROR(__xludf.DUMMYFUNCTION("""COMPUTED_VALUE"""),1.23540070001035)</f>
        <v>1.2354007</v>
      </c>
    </row>
    <row r="484">
      <c r="A484" s="6" t="str">
        <f t="shared" si="3"/>
        <v>P3</v>
      </c>
      <c r="B484" s="2">
        <v>91.0</v>
      </c>
      <c r="C484" s="2" t="s">
        <v>466</v>
      </c>
      <c r="D484" s="2" t="s">
        <v>13</v>
      </c>
      <c r="E484" s="2">
        <v>10.0</v>
      </c>
      <c r="F484" s="6">
        <f>IFERROR(__xludf.DUMMYFUNCTION("""COMPUTED_VALUE"""),1.12212229997385)</f>
        <v>1.1221223</v>
      </c>
    </row>
    <row r="485">
      <c r="A485" s="6" t="str">
        <f t="shared" si="3"/>
        <v>P3</v>
      </c>
      <c r="B485" s="2">
        <v>92.0</v>
      </c>
      <c r="C485" s="2" t="s">
        <v>471</v>
      </c>
      <c r="D485" s="2" t="s">
        <v>13</v>
      </c>
      <c r="E485" s="2">
        <v>10.0</v>
      </c>
      <c r="F485" s="6">
        <f>IFERROR(__xludf.DUMMYFUNCTION("""COMPUTED_VALUE"""),1.20152700005564)</f>
        <v>1.201527</v>
      </c>
    </row>
    <row r="486">
      <c r="A486" s="6" t="str">
        <f t="shared" si="3"/>
        <v>P3</v>
      </c>
      <c r="B486" s="2">
        <v>93.0</v>
      </c>
      <c r="C486" s="2" t="s">
        <v>476</v>
      </c>
      <c r="D486" s="2" t="s">
        <v>13</v>
      </c>
      <c r="E486" s="2">
        <v>10.0</v>
      </c>
      <c r="F486" s="6">
        <f>IFERROR(__xludf.DUMMYFUNCTION("""COMPUTED_VALUE"""),1.6714486000128)</f>
        <v>1.6714486</v>
      </c>
    </row>
    <row r="487">
      <c r="A487" s="6" t="str">
        <f t="shared" si="3"/>
        <v>P3</v>
      </c>
      <c r="B487" s="2">
        <v>94.0</v>
      </c>
      <c r="C487" s="2" t="s">
        <v>481</v>
      </c>
      <c r="D487" s="2" t="s">
        <v>13</v>
      </c>
      <c r="E487" s="2">
        <v>10.0</v>
      </c>
      <c r="F487" s="6">
        <f>IFERROR(__xludf.DUMMYFUNCTION("""COMPUTED_VALUE"""),2.60125049995258)</f>
        <v>2.6012505</v>
      </c>
    </row>
    <row r="488">
      <c r="A488" s="6" t="str">
        <f t="shared" si="3"/>
        <v>P3</v>
      </c>
      <c r="B488" s="2">
        <v>95.0</v>
      </c>
      <c r="C488" s="2" t="s">
        <v>486</v>
      </c>
      <c r="D488" s="2" t="s">
        <v>13</v>
      </c>
      <c r="E488" s="2">
        <v>10.0</v>
      </c>
      <c r="F488" s="6">
        <f>IFERROR(__xludf.DUMMYFUNCTION("""COMPUTED_VALUE"""),3.23669910000171)</f>
        <v>3.2366991</v>
      </c>
    </row>
    <row r="489">
      <c r="A489" s="6" t="str">
        <f t="shared" si="3"/>
        <v>P3</v>
      </c>
      <c r="B489" s="2">
        <v>96.0</v>
      </c>
      <c r="C489" s="2" t="s">
        <v>491</v>
      </c>
      <c r="D489" s="2" t="s">
        <v>13</v>
      </c>
      <c r="E489" s="2">
        <v>5.0</v>
      </c>
      <c r="F489" s="6">
        <f>IFERROR(__xludf.DUMMYFUNCTION("""COMPUTED_VALUE"""),1.07007140002679)</f>
        <v>1.0700714</v>
      </c>
    </row>
    <row r="490">
      <c r="A490" s="6" t="str">
        <f t="shared" si="3"/>
        <v>P3</v>
      </c>
      <c r="B490" s="2">
        <v>97.0</v>
      </c>
      <c r="C490" s="2" t="s">
        <v>496</v>
      </c>
      <c r="D490" s="2" t="s">
        <v>13</v>
      </c>
      <c r="E490" s="2">
        <v>5.0</v>
      </c>
      <c r="F490" s="6">
        <f>IFERROR(__xludf.DUMMYFUNCTION("""COMPUTED_VALUE"""),1.16197929996997)</f>
        <v>1.1619793</v>
      </c>
    </row>
    <row r="491">
      <c r="A491" s="6" t="str">
        <f t="shared" si="3"/>
        <v>P3</v>
      </c>
      <c r="B491" s="2">
        <v>98.0</v>
      </c>
      <c r="C491" s="2" t="s">
        <v>501</v>
      </c>
      <c r="D491" s="2" t="s">
        <v>13</v>
      </c>
      <c r="E491" s="2">
        <v>5.0</v>
      </c>
      <c r="F491" s="6">
        <f>IFERROR(__xludf.DUMMYFUNCTION("""COMPUTED_VALUE"""),1.03433439997024)</f>
        <v>1.0343344</v>
      </c>
    </row>
    <row r="492">
      <c r="A492" s="6" t="str">
        <f t="shared" si="3"/>
        <v>P3</v>
      </c>
      <c r="B492" s="2">
        <v>99.0</v>
      </c>
      <c r="C492" s="2" t="s">
        <v>505</v>
      </c>
      <c r="D492" s="2" t="s">
        <v>13</v>
      </c>
      <c r="E492" s="2">
        <v>10.0</v>
      </c>
      <c r="F492" s="6">
        <f>IFERROR(__xludf.DUMMYFUNCTION("""COMPUTED_VALUE"""),1.68681770004332)</f>
        <v>1.6868177</v>
      </c>
    </row>
    <row r="493">
      <c r="A493" s="6" t="str">
        <f t="shared" si="3"/>
        <v>P3</v>
      </c>
      <c r="B493" s="2">
        <v>101.0</v>
      </c>
      <c r="C493" s="2" t="s">
        <v>514</v>
      </c>
      <c r="D493" s="2" t="s">
        <v>13</v>
      </c>
      <c r="E493" s="2">
        <v>5.0</v>
      </c>
      <c r="F493" s="6">
        <f>IFERROR(__xludf.DUMMYFUNCTION("""COMPUTED_VALUE"""),1.68244810006581)</f>
        <v>1.6824481</v>
      </c>
    </row>
    <row r="494">
      <c r="A494" s="6" t="str">
        <f t="shared" si="3"/>
        <v>P3</v>
      </c>
      <c r="B494" s="2">
        <v>102.0</v>
      </c>
      <c r="C494" s="2" t="s">
        <v>519</v>
      </c>
      <c r="D494" s="2" t="s">
        <v>13</v>
      </c>
      <c r="E494" s="2">
        <v>10.0</v>
      </c>
      <c r="F494" s="6">
        <f>IFERROR(__xludf.DUMMYFUNCTION("""COMPUTED_VALUE"""),1.40178020007442)</f>
        <v>1.4017802</v>
      </c>
    </row>
    <row r="495">
      <c r="A495" s="6" t="str">
        <f t="shared" si="3"/>
        <v>P3</v>
      </c>
      <c r="B495" s="2">
        <v>103.0</v>
      </c>
      <c r="C495" s="2" t="s">
        <v>524</v>
      </c>
      <c r="D495" s="2" t="s">
        <v>13</v>
      </c>
      <c r="E495" s="2">
        <v>5.0</v>
      </c>
      <c r="F495" s="6">
        <f>IFERROR(__xludf.DUMMYFUNCTION("""COMPUTED_VALUE"""),1.33722119999583)</f>
        <v>1.3372212</v>
      </c>
    </row>
    <row r="496">
      <c r="A496" s="6" t="str">
        <f t="shared" si="3"/>
        <v>P3</v>
      </c>
      <c r="B496" s="2">
        <v>104.0</v>
      </c>
      <c r="C496" s="2" t="s">
        <v>529</v>
      </c>
      <c r="D496" s="2" t="s">
        <v>13</v>
      </c>
      <c r="E496" s="2">
        <v>5.0</v>
      </c>
      <c r="F496" s="6">
        <f>IFERROR(__xludf.DUMMYFUNCTION("""COMPUTED_VALUE"""),0.864817699999548)</f>
        <v>0.8648177</v>
      </c>
    </row>
    <row r="497">
      <c r="A497" s="6" t="str">
        <f t="shared" si="3"/>
        <v>P3</v>
      </c>
      <c r="B497" s="2">
        <v>105.0</v>
      </c>
      <c r="C497" s="2" t="s">
        <v>534</v>
      </c>
      <c r="D497" s="2" t="s">
        <v>13</v>
      </c>
      <c r="E497" s="2">
        <v>5.0</v>
      </c>
      <c r="F497" s="6">
        <f>IFERROR(__xludf.DUMMYFUNCTION("""COMPUTED_VALUE"""),1.32927670003846)</f>
        <v>1.3292767</v>
      </c>
    </row>
    <row r="498">
      <c r="A498" s="6" t="str">
        <f t="shared" si="3"/>
        <v>P3</v>
      </c>
      <c r="B498" s="2">
        <v>106.0</v>
      </c>
      <c r="C498" s="2" t="s">
        <v>539</v>
      </c>
      <c r="D498" s="2" t="s">
        <v>13</v>
      </c>
      <c r="E498" s="2">
        <v>5.0</v>
      </c>
      <c r="F498" s="6">
        <f>IFERROR(__xludf.DUMMYFUNCTION("""COMPUTED_VALUE"""),1.05111340002622)</f>
        <v>1.0511134</v>
      </c>
    </row>
    <row r="499">
      <c r="A499" s="6" t="str">
        <f t="shared" si="3"/>
        <v>P3</v>
      </c>
      <c r="B499" s="2">
        <v>107.0</v>
      </c>
      <c r="C499" s="2" t="s">
        <v>544</v>
      </c>
      <c r="D499" s="2" t="s">
        <v>13</v>
      </c>
      <c r="E499" s="2">
        <v>5.0</v>
      </c>
      <c r="F499" s="6">
        <f>IFERROR(__xludf.DUMMYFUNCTION("""COMPUTED_VALUE"""),1.31770919996779)</f>
        <v>1.3177092</v>
      </c>
    </row>
    <row r="500">
      <c r="A500" s="6" t="str">
        <f t="shared" si="3"/>
        <v>P3</v>
      </c>
      <c r="B500" s="2">
        <v>108.0</v>
      </c>
      <c r="C500" s="2" t="s">
        <v>549</v>
      </c>
      <c r="D500" s="2" t="s">
        <v>13</v>
      </c>
      <c r="E500" s="2">
        <v>10.0</v>
      </c>
      <c r="F500" s="6">
        <f>IFERROR(__xludf.DUMMYFUNCTION("""COMPUTED_VALUE"""),2.51253960002213)</f>
        <v>2.5125396</v>
      </c>
    </row>
    <row r="501">
      <c r="A501" s="6" t="str">
        <f t="shared" si="3"/>
        <v>P3</v>
      </c>
      <c r="B501" s="2">
        <v>109.0</v>
      </c>
      <c r="C501" s="2" t="s">
        <v>554</v>
      </c>
      <c r="D501" s="2" t="s">
        <v>13</v>
      </c>
      <c r="E501" s="2">
        <v>5.0</v>
      </c>
      <c r="F501" s="6">
        <f>IFERROR(__xludf.DUMMYFUNCTION("""COMPUTED_VALUE"""),1.11223990004509)</f>
        <v>1.1122399</v>
      </c>
    </row>
    <row r="502">
      <c r="A502" s="6" t="str">
        <f t="shared" si="3"/>
        <v>P3</v>
      </c>
      <c r="B502" s="2">
        <v>110.0</v>
      </c>
      <c r="C502" s="2" t="s">
        <v>559</v>
      </c>
      <c r="D502" s="2" t="s">
        <v>13</v>
      </c>
      <c r="E502" s="2">
        <v>5.0</v>
      </c>
      <c r="F502" s="6">
        <f>IFERROR(__xludf.DUMMYFUNCTION("""COMPUTED_VALUE"""),1.52906149998307)</f>
        <v>1.5290615</v>
      </c>
    </row>
    <row r="503">
      <c r="A503" s="6" t="str">
        <f t="shared" si="3"/>
        <v>P3</v>
      </c>
      <c r="B503" s="2">
        <v>111.0</v>
      </c>
      <c r="C503" s="2" t="s">
        <v>564</v>
      </c>
      <c r="D503" s="2" t="s">
        <v>13</v>
      </c>
      <c r="E503" s="2">
        <v>10.0</v>
      </c>
      <c r="F503" s="6">
        <f>IFERROR(__xludf.DUMMYFUNCTION("""COMPUTED_VALUE"""),2.03996639989782)</f>
        <v>2.0399664</v>
      </c>
    </row>
    <row r="504">
      <c r="A504" s="6" t="str">
        <f t="shared" si="3"/>
        <v>P3</v>
      </c>
      <c r="B504" s="2">
        <v>112.0</v>
      </c>
      <c r="C504" s="2" t="s">
        <v>569</v>
      </c>
      <c r="D504" s="2" t="s">
        <v>13</v>
      </c>
      <c r="E504" s="2">
        <v>5.0</v>
      </c>
      <c r="F504" s="6">
        <f>IFERROR(__xludf.DUMMYFUNCTION("""COMPUTED_VALUE"""),1.14843230007682)</f>
        <v>1.1484323</v>
      </c>
    </row>
    <row r="505">
      <c r="A505" s="6" t="str">
        <f t="shared" si="3"/>
        <v>P3</v>
      </c>
      <c r="B505" s="2">
        <v>113.0</v>
      </c>
      <c r="C505" s="2" t="s">
        <v>574</v>
      </c>
      <c r="D505" s="2" t="s">
        <v>13</v>
      </c>
      <c r="E505" s="2">
        <v>5.0</v>
      </c>
      <c r="F505" s="6">
        <f>IFERROR(__xludf.DUMMYFUNCTION("""COMPUTED_VALUE"""),1.40051519998814)</f>
        <v>1.4005152</v>
      </c>
    </row>
    <row r="506">
      <c r="A506" s="6" t="str">
        <f t="shared" si="3"/>
        <v>P3</v>
      </c>
      <c r="B506" s="2">
        <v>114.0</v>
      </c>
      <c r="C506" s="2" t="s">
        <v>579</v>
      </c>
      <c r="D506" s="2" t="s">
        <v>13</v>
      </c>
      <c r="E506" s="2">
        <v>10.0</v>
      </c>
      <c r="F506" s="6">
        <f>IFERROR(__xludf.DUMMYFUNCTION("""COMPUTED_VALUE"""),3.77442440006416)</f>
        <v>3.7744244</v>
      </c>
    </row>
    <row r="507">
      <c r="A507" s="6" t="str">
        <f t="shared" si="3"/>
        <v>P3</v>
      </c>
      <c r="B507" s="2">
        <v>116.0</v>
      </c>
      <c r="C507" s="2" t="s">
        <v>588</v>
      </c>
      <c r="D507" s="2" t="s">
        <v>13</v>
      </c>
      <c r="E507" s="2">
        <v>10.0</v>
      </c>
      <c r="F507" s="6">
        <f>IFERROR(__xludf.DUMMYFUNCTION("""COMPUTED_VALUE"""),1.63222730008419)</f>
        <v>1.6322273</v>
      </c>
    </row>
    <row r="508">
      <c r="A508" s="6" t="str">
        <f t="shared" si="3"/>
        <v>P3</v>
      </c>
      <c r="B508" s="2">
        <v>117.0</v>
      </c>
      <c r="C508" s="2" t="s">
        <v>593</v>
      </c>
      <c r="D508" s="2" t="s">
        <v>13</v>
      </c>
      <c r="E508" s="2">
        <v>5.0</v>
      </c>
      <c r="F508" s="6">
        <f>IFERROR(__xludf.DUMMYFUNCTION("""COMPUTED_VALUE"""),1.18370099994353)</f>
        <v>1.183701</v>
      </c>
    </row>
    <row r="509">
      <c r="A509" s="6" t="str">
        <f t="shared" si="3"/>
        <v>P3</v>
      </c>
      <c r="B509" s="2">
        <v>118.0</v>
      </c>
      <c r="C509" s="2" t="s">
        <v>598</v>
      </c>
      <c r="D509" s="2" t="s">
        <v>13</v>
      </c>
      <c r="E509" s="2">
        <v>10.0</v>
      </c>
      <c r="F509" s="6">
        <f>IFERROR(__xludf.DUMMYFUNCTION("""COMPUTED_VALUE"""),2.98255940002854)</f>
        <v>2.9825594</v>
      </c>
    </row>
    <row r="510">
      <c r="A510" s="6" t="str">
        <f t="shared" si="3"/>
        <v>P3</v>
      </c>
      <c r="B510" s="2">
        <v>119.0</v>
      </c>
      <c r="C510" s="2" t="s">
        <v>603</v>
      </c>
      <c r="D510" s="2" t="s">
        <v>13</v>
      </c>
      <c r="E510" s="2">
        <v>10.0</v>
      </c>
      <c r="F510" s="6">
        <f>IFERROR(__xludf.DUMMYFUNCTION("""COMPUTED_VALUE"""),0.966534500010311)</f>
        <v>0.9665345</v>
      </c>
    </row>
    <row r="511">
      <c r="A511" s="6" t="str">
        <f t="shared" si="3"/>
        <v>P3</v>
      </c>
      <c r="B511" s="2">
        <v>120.0</v>
      </c>
      <c r="C511" s="2" t="s">
        <v>608</v>
      </c>
      <c r="D511" s="2" t="s">
        <v>13</v>
      </c>
      <c r="E511" s="2">
        <v>10.0</v>
      </c>
      <c r="F511" s="6">
        <f>IFERROR(__xludf.DUMMYFUNCTION("""COMPUTED_VALUE"""),1.80254669999703)</f>
        <v>1.8025467</v>
      </c>
    </row>
    <row r="512">
      <c r="A512" s="6" t="str">
        <f t="shared" si="3"/>
        <v>P3</v>
      </c>
      <c r="B512" s="2">
        <v>121.0</v>
      </c>
      <c r="C512" s="2" t="s">
        <v>613</v>
      </c>
      <c r="D512" s="2" t="s">
        <v>13</v>
      </c>
      <c r="E512" s="2">
        <v>5.0</v>
      </c>
      <c r="F512" s="6">
        <f>IFERROR(__xludf.DUMMYFUNCTION("""COMPUTED_VALUE"""),1.21748320001643)</f>
        <v>1.2174832</v>
      </c>
    </row>
    <row r="513">
      <c r="A513" s="6" t="str">
        <f t="shared" si="3"/>
        <v>P3</v>
      </c>
      <c r="B513" s="2">
        <v>122.0</v>
      </c>
      <c r="C513" s="2" t="s">
        <v>618</v>
      </c>
      <c r="D513" s="2" t="s">
        <v>13</v>
      </c>
      <c r="E513" s="2">
        <v>10.0</v>
      </c>
      <c r="F513" s="6">
        <f>IFERROR(__xludf.DUMMYFUNCTION("""COMPUTED_VALUE"""),1.08262100000865)</f>
        <v>1.082621</v>
      </c>
    </row>
    <row r="514">
      <c r="A514" s="6" t="str">
        <f t="shared" si="3"/>
        <v>P3</v>
      </c>
      <c r="B514" s="2">
        <v>123.0</v>
      </c>
      <c r="C514" s="2" t="s">
        <v>623</v>
      </c>
      <c r="D514" s="2" t="s">
        <v>13</v>
      </c>
      <c r="E514" s="2">
        <v>5.0</v>
      </c>
      <c r="F514" s="6">
        <f>IFERROR(__xludf.DUMMYFUNCTION("""COMPUTED_VALUE"""),1.00018989993259)</f>
        <v>1.0001899</v>
      </c>
    </row>
    <row r="515">
      <c r="A515" s="6" t="str">
        <f t="shared" si="3"/>
        <v>P3</v>
      </c>
      <c r="B515" s="2">
        <v>124.0</v>
      </c>
      <c r="C515" s="2" t="s">
        <v>628</v>
      </c>
      <c r="D515" s="2" t="s">
        <v>13</v>
      </c>
      <c r="E515" s="2">
        <v>10.0</v>
      </c>
      <c r="F515" s="6">
        <f>IFERROR(__xludf.DUMMYFUNCTION("""COMPUTED_VALUE"""),1.06985720002558)</f>
        <v>1.0698572</v>
      </c>
    </row>
    <row r="516">
      <c r="A516" s="6" t="str">
        <f t="shared" si="3"/>
        <v>P3</v>
      </c>
      <c r="B516" s="2">
        <v>125.0</v>
      </c>
      <c r="C516" s="2" t="s">
        <v>633</v>
      </c>
      <c r="D516" s="2" t="s">
        <v>13</v>
      </c>
      <c r="E516" s="2">
        <v>5.0</v>
      </c>
      <c r="F516" s="6">
        <f>IFERROR(__xludf.DUMMYFUNCTION("""COMPUTED_VALUE"""),1.68193379999138)</f>
        <v>1.6819338</v>
      </c>
    </row>
    <row r="517">
      <c r="A517" s="6" t="str">
        <f t="shared" si="3"/>
        <v>P3</v>
      </c>
      <c r="B517" s="2">
        <v>126.0</v>
      </c>
      <c r="C517" s="2" t="s">
        <v>638</v>
      </c>
      <c r="D517" s="2" t="s">
        <v>13</v>
      </c>
      <c r="E517" s="2">
        <v>5.0</v>
      </c>
      <c r="F517" s="6">
        <f>IFERROR(__xludf.DUMMYFUNCTION("""COMPUTED_VALUE"""),1.7485571000725)</f>
        <v>1.7485571</v>
      </c>
    </row>
    <row r="518">
      <c r="A518" s="6" t="str">
        <f t="shared" si="3"/>
        <v>P3</v>
      </c>
      <c r="B518" s="2">
        <v>127.0</v>
      </c>
      <c r="C518" s="2" t="s">
        <v>643</v>
      </c>
      <c r="D518" s="2" t="s">
        <v>13</v>
      </c>
      <c r="E518" s="2">
        <v>5.0</v>
      </c>
      <c r="F518" s="6">
        <f>IFERROR(__xludf.DUMMYFUNCTION("""COMPUTED_VALUE"""),1.20111020002514)</f>
        <v>1.2011102</v>
      </c>
    </row>
    <row r="519">
      <c r="A519" s="6" t="str">
        <f t="shared" si="3"/>
        <v>P3</v>
      </c>
      <c r="B519" s="2">
        <v>128.0</v>
      </c>
      <c r="C519" s="2" t="s">
        <v>648</v>
      </c>
      <c r="D519" s="2" t="s">
        <v>13</v>
      </c>
      <c r="E519" s="2">
        <v>5.0</v>
      </c>
      <c r="F519" s="6">
        <f>IFERROR(__xludf.DUMMYFUNCTION("""COMPUTED_VALUE"""),1.84874289995059)</f>
        <v>1.8487429</v>
      </c>
    </row>
    <row r="520">
      <c r="A520" s="6" t="str">
        <f t="shared" si="3"/>
        <v>P3</v>
      </c>
      <c r="B520" s="2">
        <v>129.0</v>
      </c>
      <c r="C520" s="2" t="s">
        <v>653</v>
      </c>
      <c r="D520" s="2" t="s">
        <v>13</v>
      </c>
      <c r="E520" s="2">
        <v>10.0</v>
      </c>
      <c r="F520" s="6">
        <f>IFERROR(__xludf.DUMMYFUNCTION("""COMPUTED_VALUE"""),1.31792900001164)</f>
        <v>1.317929</v>
      </c>
    </row>
    <row r="521">
      <c r="A521" s="6" t="str">
        <f t="shared" si="3"/>
        <v>P3</v>
      </c>
      <c r="B521" s="2">
        <v>130.0</v>
      </c>
      <c r="C521" s="2" t="s">
        <v>658</v>
      </c>
      <c r="D521" s="2" t="s">
        <v>13</v>
      </c>
      <c r="E521" s="2">
        <v>5.0</v>
      </c>
      <c r="F521" s="6">
        <f>IFERROR(__xludf.DUMMYFUNCTION("""COMPUTED_VALUE"""),1.03729619993828)</f>
        <v>1.0372962</v>
      </c>
    </row>
    <row r="522">
      <c r="A522" s="6" t="str">
        <f t="shared" si="3"/>
        <v>P3</v>
      </c>
      <c r="B522" s="2">
        <v>131.0</v>
      </c>
      <c r="C522" s="2" t="s">
        <v>663</v>
      </c>
      <c r="D522" s="2" t="s">
        <v>13</v>
      </c>
      <c r="E522" s="2">
        <v>10.0</v>
      </c>
      <c r="F522" s="6">
        <f>IFERROR(__xludf.DUMMYFUNCTION("""COMPUTED_VALUE"""),1.35292670002672)</f>
        <v>1.3529267</v>
      </c>
    </row>
    <row r="523">
      <c r="A523" s="6" t="str">
        <f t="shared" si="3"/>
        <v>P3</v>
      </c>
      <c r="B523" s="2">
        <v>132.0</v>
      </c>
      <c r="C523" s="2" t="s">
        <v>668</v>
      </c>
      <c r="D523" s="2" t="s">
        <v>13</v>
      </c>
      <c r="E523" s="2">
        <v>10.0</v>
      </c>
      <c r="F523" s="6">
        <f>IFERROR(__xludf.DUMMYFUNCTION("""COMPUTED_VALUE"""),1.58714489999692)</f>
        <v>1.5871449</v>
      </c>
    </row>
    <row r="524">
      <c r="A524" s="6" t="str">
        <f t="shared" si="3"/>
        <v>P3</v>
      </c>
      <c r="B524" s="2">
        <v>133.0</v>
      </c>
      <c r="C524" s="2" t="s">
        <v>673</v>
      </c>
      <c r="D524" s="2" t="s">
        <v>13</v>
      </c>
      <c r="E524" s="2">
        <v>10.0</v>
      </c>
      <c r="F524" s="6">
        <f>IFERROR(__xludf.DUMMYFUNCTION("""COMPUTED_VALUE"""),2.15433199994731)</f>
        <v>2.154332</v>
      </c>
    </row>
    <row r="525">
      <c r="A525" s="6" t="str">
        <f t="shared" si="3"/>
        <v>P3</v>
      </c>
      <c r="B525" s="2">
        <v>134.0</v>
      </c>
      <c r="C525" s="2" t="s">
        <v>678</v>
      </c>
      <c r="D525" s="2" t="s">
        <v>13</v>
      </c>
      <c r="E525" s="2">
        <v>5.0</v>
      </c>
      <c r="F525" s="6">
        <f>IFERROR(__xludf.DUMMYFUNCTION("""COMPUTED_VALUE"""),2.02784569992218)</f>
        <v>2.0278457</v>
      </c>
    </row>
    <row r="526">
      <c r="A526" s="6" t="str">
        <f t="shared" si="3"/>
        <v>P3</v>
      </c>
      <c r="B526" s="2">
        <v>135.0</v>
      </c>
      <c r="C526" s="2" t="s">
        <v>683</v>
      </c>
      <c r="D526" s="2" t="s">
        <v>13</v>
      </c>
      <c r="E526" s="2">
        <v>10.0</v>
      </c>
      <c r="F526" s="6">
        <f>IFERROR(__xludf.DUMMYFUNCTION("""COMPUTED_VALUE"""),1.55548710003495)</f>
        <v>1.5554871</v>
      </c>
    </row>
    <row r="527">
      <c r="A527" s="6" t="str">
        <f t="shared" si="3"/>
        <v>P3</v>
      </c>
      <c r="B527" s="2">
        <v>136.0</v>
      </c>
      <c r="C527" s="2" t="s">
        <v>688</v>
      </c>
      <c r="D527" s="2" t="s">
        <v>13</v>
      </c>
      <c r="E527" s="2">
        <v>5.0</v>
      </c>
      <c r="F527" s="6">
        <f>IFERROR(__xludf.DUMMYFUNCTION("""COMPUTED_VALUE"""),2.04695509991142)</f>
        <v>2.0469551</v>
      </c>
    </row>
    <row r="528">
      <c r="A528" s="6" t="str">
        <f t="shared" si="3"/>
        <v>P3</v>
      </c>
      <c r="B528" s="2">
        <v>137.0</v>
      </c>
      <c r="C528" s="2" t="s">
        <v>693</v>
      </c>
      <c r="D528" s="2" t="s">
        <v>13</v>
      </c>
      <c r="E528" s="2">
        <v>10.0</v>
      </c>
      <c r="F528" s="6">
        <f>IFERROR(__xludf.DUMMYFUNCTION("""COMPUTED_VALUE"""),1.48926250007934)</f>
        <v>1.4892625</v>
      </c>
    </row>
    <row r="529">
      <c r="A529" s="6" t="str">
        <f t="shared" si="3"/>
        <v>P3</v>
      </c>
      <c r="B529" s="2">
        <v>138.0</v>
      </c>
      <c r="C529" s="2" t="s">
        <v>698</v>
      </c>
      <c r="D529" s="2" t="s">
        <v>13</v>
      </c>
      <c r="E529" s="2">
        <v>10.0</v>
      </c>
      <c r="F529" s="6">
        <f>IFERROR(__xludf.DUMMYFUNCTION("""COMPUTED_VALUE"""),1.62059549998957)</f>
        <v>1.6205955</v>
      </c>
    </row>
    <row r="530">
      <c r="A530" s="6" t="str">
        <f t="shared" si="3"/>
        <v>P3</v>
      </c>
      <c r="B530" s="2">
        <v>139.0</v>
      </c>
      <c r="C530" s="2" t="s">
        <v>703</v>
      </c>
      <c r="D530" s="2" t="s">
        <v>13</v>
      </c>
      <c r="E530" s="2">
        <v>5.0</v>
      </c>
      <c r="F530" s="6">
        <f>IFERROR(__xludf.DUMMYFUNCTION("""COMPUTED_VALUE"""),0.9197937999852)</f>
        <v>0.9197938</v>
      </c>
    </row>
    <row r="531">
      <c r="A531" s="6" t="str">
        <f t="shared" si="3"/>
        <v>P3</v>
      </c>
      <c r="B531" s="2">
        <v>140.0</v>
      </c>
      <c r="C531" s="2" t="s">
        <v>708</v>
      </c>
      <c r="D531" s="2" t="s">
        <v>13</v>
      </c>
      <c r="E531" s="2">
        <v>5.0</v>
      </c>
      <c r="F531" s="6">
        <f>IFERROR(__xludf.DUMMYFUNCTION("""COMPUTED_VALUE"""),0.766425900044851)</f>
        <v>0.7664259</v>
      </c>
    </row>
    <row r="532">
      <c r="A532" s="6" t="str">
        <f t="shared" si="3"/>
        <v>P3</v>
      </c>
      <c r="B532" s="2">
        <v>141.0</v>
      </c>
      <c r="C532" s="2" t="s">
        <v>713</v>
      </c>
      <c r="D532" s="2" t="s">
        <v>13</v>
      </c>
      <c r="E532" s="2">
        <v>10.0</v>
      </c>
      <c r="F532" s="6">
        <f>IFERROR(__xludf.DUMMYFUNCTION("""COMPUTED_VALUE"""),1.39641150005627)</f>
        <v>1.3964115</v>
      </c>
    </row>
    <row r="533">
      <c r="A533" s="6" t="str">
        <f t="shared" si="3"/>
        <v>P3</v>
      </c>
      <c r="B533" s="2">
        <v>142.0</v>
      </c>
      <c r="C533" s="2" t="s">
        <v>718</v>
      </c>
      <c r="D533" s="2" t="s">
        <v>13</v>
      </c>
      <c r="E533" s="2">
        <v>5.0</v>
      </c>
      <c r="F533" s="6">
        <f>IFERROR(__xludf.DUMMYFUNCTION("""COMPUTED_VALUE"""),1.26559329999145)</f>
        <v>1.2655933</v>
      </c>
    </row>
    <row r="534">
      <c r="A534" s="6" t="str">
        <f t="shared" si="3"/>
        <v>P3</v>
      </c>
      <c r="B534" s="2">
        <v>143.0</v>
      </c>
      <c r="C534" s="2" t="s">
        <v>722</v>
      </c>
      <c r="D534" s="2" t="s">
        <v>13</v>
      </c>
      <c r="E534" s="2">
        <v>5.0</v>
      </c>
      <c r="F534" s="6">
        <f>IFERROR(__xludf.DUMMYFUNCTION("""COMPUTED_VALUE"""),1.9667406999506)</f>
        <v>1.9667407</v>
      </c>
    </row>
    <row r="535">
      <c r="A535" s="6" t="str">
        <f t="shared" si="3"/>
        <v>P3</v>
      </c>
      <c r="B535" s="2">
        <v>144.0</v>
      </c>
      <c r="C535" s="2" t="s">
        <v>727</v>
      </c>
      <c r="D535" s="2" t="s">
        <v>13</v>
      </c>
      <c r="E535" s="2">
        <v>5.0</v>
      </c>
      <c r="F535" s="6">
        <f>IFERROR(__xludf.DUMMYFUNCTION("""COMPUTED_VALUE"""),1.06533320003654)</f>
        <v>1.0653332</v>
      </c>
    </row>
    <row r="536">
      <c r="A536" s="6" t="str">
        <f t="shared" si="3"/>
        <v>P3</v>
      </c>
      <c r="B536" s="2">
        <v>145.0</v>
      </c>
      <c r="C536" s="2" t="s">
        <v>732</v>
      </c>
      <c r="D536" s="2" t="s">
        <v>13</v>
      </c>
      <c r="E536" s="2">
        <v>10.0</v>
      </c>
      <c r="F536" s="6">
        <f>IFERROR(__xludf.DUMMYFUNCTION("""COMPUTED_VALUE"""),1.53535629995167)</f>
        <v>1.5353563</v>
      </c>
    </row>
    <row r="537">
      <c r="A537" s="6" t="str">
        <f t="shared" si="3"/>
        <v>P3</v>
      </c>
      <c r="B537" s="2">
        <v>146.0</v>
      </c>
      <c r="C537" s="2" t="s">
        <v>737</v>
      </c>
      <c r="D537" s="2" t="s">
        <v>13</v>
      </c>
      <c r="E537" s="2">
        <v>10.0</v>
      </c>
      <c r="F537" s="6">
        <f>IFERROR(__xludf.DUMMYFUNCTION("""COMPUTED_VALUE"""),1.35233640007209)</f>
        <v>1.3523364</v>
      </c>
    </row>
    <row r="538">
      <c r="A538" s="6" t="str">
        <f t="shared" si="3"/>
        <v>P3</v>
      </c>
      <c r="B538" s="2">
        <v>147.0</v>
      </c>
      <c r="C538" s="2" t="s">
        <v>742</v>
      </c>
      <c r="D538" s="2" t="s">
        <v>13</v>
      </c>
      <c r="E538" s="2">
        <v>5.0</v>
      </c>
      <c r="F538" s="6">
        <f>IFERROR(__xludf.DUMMYFUNCTION("""COMPUTED_VALUE"""),1.61588059994392)</f>
        <v>1.6158806</v>
      </c>
    </row>
    <row r="539">
      <c r="A539" s="6" t="str">
        <f t="shared" si="3"/>
        <v>P3</v>
      </c>
      <c r="B539" s="2">
        <v>148.0</v>
      </c>
      <c r="C539" s="2" t="s">
        <v>747</v>
      </c>
      <c r="D539" s="2" t="s">
        <v>13</v>
      </c>
      <c r="E539" s="2">
        <v>10.0</v>
      </c>
      <c r="F539" s="6">
        <f>IFERROR(__xludf.DUMMYFUNCTION("""COMPUTED_VALUE"""),1.6037018999923)</f>
        <v>1.6037019</v>
      </c>
    </row>
    <row r="540">
      <c r="A540" s="6" t="str">
        <f t="shared" si="3"/>
        <v>P3</v>
      </c>
      <c r="B540" s="2">
        <v>149.0</v>
      </c>
      <c r="C540" s="2" t="s">
        <v>752</v>
      </c>
      <c r="D540" s="2" t="s">
        <v>13</v>
      </c>
      <c r="E540" s="2">
        <v>10.0</v>
      </c>
      <c r="F540" s="6">
        <f>IFERROR(__xludf.DUMMYFUNCTION("""COMPUTED_VALUE"""),1.997960699955)</f>
        <v>1.9979607</v>
      </c>
    </row>
    <row r="541">
      <c r="A541" s="6" t="str">
        <f t="shared" si="3"/>
        <v>P3</v>
      </c>
      <c r="B541" s="2">
        <v>150.0</v>
      </c>
      <c r="C541" s="2" t="s">
        <v>756</v>
      </c>
      <c r="D541" s="2" t="s">
        <v>13</v>
      </c>
      <c r="E541" s="2">
        <v>10.0</v>
      </c>
      <c r="F541" s="6">
        <f>IFERROR(__xludf.DUMMYFUNCTION("""COMPUTED_VALUE"""),1.31703459995333)</f>
        <v>1.3170346</v>
      </c>
    </row>
    <row r="542">
      <c r="A542" s="6" t="str">
        <f t="shared" si="3"/>
        <v>P3</v>
      </c>
      <c r="B542" s="2">
        <v>151.0</v>
      </c>
      <c r="C542" s="2" t="s">
        <v>761</v>
      </c>
      <c r="D542" s="2" t="s">
        <v>13</v>
      </c>
      <c r="E542" s="2">
        <v>10.0</v>
      </c>
      <c r="F542" s="6">
        <f>IFERROR(__xludf.DUMMYFUNCTION("""COMPUTED_VALUE"""),2.48679840005934)</f>
        <v>2.4867984</v>
      </c>
    </row>
    <row r="543">
      <c r="A543" s="6" t="str">
        <f t="shared" si="3"/>
        <v>P3</v>
      </c>
      <c r="B543" s="2">
        <v>152.0</v>
      </c>
      <c r="C543" s="2" t="s">
        <v>766</v>
      </c>
      <c r="D543" s="2" t="s">
        <v>13</v>
      </c>
      <c r="E543" s="2">
        <v>10.0</v>
      </c>
      <c r="F543" s="6">
        <f>IFERROR(__xludf.DUMMYFUNCTION("""COMPUTED_VALUE"""),2.11919370002578)</f>
        <v>2.1191937</v>
      </c>
    </row>
    <row r="544">
      <c r="A544" s="6" t="str">
        <f t="shared" si="3"/>
        <v>P3</v>
      </c>
      <c r="B544" s="2">
        <v>153.0</v>
      </c>
      <c r="C544" s="2" t="s">
        <v>771</v>
      </c>
      <c r="D544" s="2" t="s">
        <v>13</v>
      </c>
      <c r="E544" s="2">
        <v>10.0</v>
      </c>
      <c r="F544" s="6">
        <f>IFERROR(__xludf.DUMMYFUNCTION("""COMPUTED_VALUE"""),1.60089859995059)</f>
        <v>1.6008986</v>
      </c>
    </row>
    <row r="545">
      <c r="A545" s="6" t="str">
        <f t="shared" si="3"/>
        <v>P3</v>
      </c>
      <c r="B545" s="2">
        <v>154.0</v>
      </c>
      <c r="C545" s="2" t="s">
        <v>776</v>
      </c>
      <c r="D545" s="2" t="s">
        <v>13</v>
      </c>
      <c r="E545" s="2">
        <v>5.0</v>
      </c>
      <c r="F545" s="6">
        <f>IFERROR(__xludf.DUMMYFUNCTION("""COMPUTED_VALUE"""),2.56725469999946)</f>
        <v>2.5672547</v>
      </c>
    </row>
    <row r="546">
      <c r="A546" s="6" t="str">
        <f t="shared" si="3"/>
        <v>P3</v>
      </c>
      <c r="B546" s="2">
        <v>155.0</v>
      </c>
      <c r="C546" s="2" t="s">
        <v>781</v>
      </c>
      <c r="D546" s="2" t="s">
        <v>13</v>
      </c>
      <c r="E546" s="2">
        <v>5.0</v>
      </c>
      <c r="F546" s="6">
        <f>IFERROR(__xludf.DUMMYFUNCTION("""COMPUTED_VALUE"""),2.53248689998872)</f>
        <v>2.5324869</v>
      </c>
    </row>
    <row r="547">
      <c r="A547" s="6" t="str">
        <f t="shared" si="3"/>
        <v>P3</v>
      </c>
      <c r="B547" s="2">
        <v>156.0</v>
      </c>
      <c r="C547" s="2" t="s">
        <v>786</v>
      </c>
      <c r="D547" s="2" t="s">
        <v>13</v>
      </c>
      <c r="E547" s="2">
        <v>10.0</v>
      </c>
      <c r="F547" s="6">
        <f>IFERROR(__xludf.DUMMYFUNCTION("""COMPUTED_VALUE"""),3.02695209998637)</f>
        <v>3.0269521</v>
      </c>
    </row>
    <row r="548">
      <c r="A548" s="6" t="str">
        <f t="shared" si="3"/>
        <v>P3</v>
      </c>
      <c r="B548" s="2">
        <v>157.0</v>
      </c>
      <c r="C548" s="2" t="s">
        <v>791</v>
      </c>
      <c r="D548" s="2" t="s">
        <v>13</v>
      </c>
      <c r="E548" s="2">
        <v>5.0</v>
      </c>
      <c r="F548" s="6">
        <f>IFERROR(__xludf.DUMMYFUNCTION("""COMPUTED_VALUE"""),1.14914470002986)</f>
        <v>1.1491447</v>
      </c>
    </row>
    <row r="549">
      <c r="A549" s="6" t="str">
        <f t="shared" si="3"/>
        <v>P3</v>
      </c>
      <c r="B549" s="2">
        <v>158.0</v>
      </c>
      <c r="C549" s="2" t="s">
        <v>796</v>
      </c>
      <c r="D549" s="2" t="s">
        <v>13</v>
      </c>
      <c r="E549" s="2">
        <v>10.0</v>
      </c>
      <c r="F549" s="6">
        <f>IFERROR(__xludf.DUMMYFUNCTION("""COMPUTED_VALUE"""),1.31951840000692)</f>
        <v>1.3195184</v>
      </c>
    </row>
    <row r="550">
      <c r="A550" s="6" t="str">
        <f t="shared" si="3"/>
        <v>P3</v>
      </c>
      <c r="B550" s="2">
        <v>159.0</v>
      </c>
      <c r="C550" s="2" t="s">
        <v>801</v>
      </c>
      <c r="D550" s="2" t="s">
        <v>13</v>
      </c>
      <c r="E550" s="2">
        <v>5.0</v>
      </c>
      <c r="F550" s="6">
        <f>IFERROR(__xludf.DUMMYFUNCTION("""COMPUTED_VALUE"""),1.40010119997896)</f>
        <v>1.4001012</v>
      </c>
    </row>
    <row r="551">
      <c r="A551" s="6" t="str">
        <f t="shared" si="3"/>
        <v>P3</v>
      </c>
      <c r="B551" s="2">
        <v>160.0</v>
      </c>
      <c r="C551" s="2" t="s">
        <v>806</v>
      </c>
      <c r="D551" s="2" t="s">
        <v>13</v>
      </c>
      <c r="E551" s="2">
        <v>5.0</v>
      </c>
      <c r="F551" s="6">
        <f>IFERROR(__xludf.DUMMYFUNCTION("""COMPUTED_VALUE"""),1.04831410001497)</f>
        <v>1.0483141</v>
      </c>
    </row>
    <row r="552">
      <c r="A552" s="6" t="str">
        <f t="shared" si="3"/>
        <v>P3</v>
      </c>
      <c r="B552" s="2">
        <v>162.0</v>
      </c>
      <c r="C552" s="2" t="s">
        <v>815</v>
      </c>
      <c r="D552" s="2" t="s">
        <v>13</v>
      </c>
      <c r="E552" s="2">
        <v>5.0</v>
      </c>
      <c r="F552" s="6">
        <f>IFERROR(__xludf.DUMMYFUNCTION("""COMPUTED_VALUE"""),1.2837854999816)</f>
        <v>1.2837855</v>
      </c>
    </row>
    <row r="553">
      <c r="A553" s="6" t="str">
        <f t="shared" si="3"/>
        <v>P3</v>
      </c>
      <c r="B553" s="2">
        <v>163.0</v>
      </c>
      <c r="C553" s="2" t="s">
        <v>820</v>
      </c>
      <c r="D553" s="2" t="s">
        <v>13</v>
      </c>
      <c r="E553" s="2">
        <v>10.0</v>
      </c>
      <c r="F553" s="6">
        <f>IFERROR(__xludf.DUMMYFUNCTION("""COMPUTED_VALUE"""),1.04023869999218)</f>
        <v>1.0402387</v>
      </c>
    </row>
    <row r="554">
      <c r="A554" s="6" t="str">
        <f t="shared" si="3"/>
        <v>P3</v>
      </c>
      <c r="B554" s="2">
        <v>164.0</v>
      </c>
      <c r="C554" s="2" t="s">
        <v>825</v>
      </c>
      <c r="D554" s="2" t="s">
        <v>13</v>
      </c>
      <c r="E554" s="2">
        <v>10.0</v>
      </c>
      <c r="F554" s="6">
        <f>IFERROR(__xludf.DUMMYFUNCTION("""COMPUTED_VALUE"""),0.76751899998635)</f>
        <v>0.767519</v>
      </c>
    </row>
    <row r="555">
      <c r="A555" s="6" t="str">
        <f t="shared" si="3"/>
        <v>P3</v>
      </c>
      <c r="B555" s="2">
        <v>165.0</v>
      </c>
      <c r="C555" s="2" t="s">
        <v>830</v>
      </c>
      <c r="D555" s="2" t="s">
        <v>13</v>
      </c>
      <c r="E555" s="2">
        <v>10.0</v>
      </c>
      <c r="F555" s="6">
        <f>IFERROR(__xludf.DUMMYFUNCTION("""COMPUTED_VALUE"""),1.50050280010327)</f>
        <v>1.5005028</v>
      </c>
    </row>
    <row r="556">
      <c r="A556" s="6" t="str">
        <f t="shared" si="3"/>
        <v>P3</v>
      </c>
      <c r="B556" s="2">
        <v>166.0</v>
      </c>
      <c r="C556" s="2" t="s">
        <v>835</v>
      </c>
      <c r="D556" s="2" t="s">
        <v>13</v>
      </c>
      <c r="E556" s="2">
        <v>10.0</v>
      </c>
      <c r="F556" s="6">
        <f>IFERROR(__xludf.DUMMYFUNCTION("""COMPUTED_VALUE"""),1.20767180004622)</f>
        <v>1.2076718</v>
      </c>
    </row>
    <row r="557">
      <c r="A557" s="6" t="str">
        <f t="shared" si="3"/>
        <v>P3</v>
      </c>
      <c r="B557" s="2">
        <v>169.0</v>
      </c>
      <c r="C557" s="2" t="s">
        <v>848</v>
      </c>
      <c r="D557" s="2" t="s">
        <v>13</v>
      </c>
      <c r="E557" s="2">
        <v>5.0</v>
      </c>
      <c r="F557" s="6">
        <f>IFERROR(__xludf.DUMMYFUNCTION("""COMPUTED_VALUE"""),1.7981416999828)</f>
        <v>1.7981417</v>
      </c>
    </row>
    <row r="558">
      <c r="A558" s="6" t="str">
        <f t="shared" si="3"/>
        <v>P3</v>
      </c>
      <c r="B558" s="2">
        <v>170.0</v>
      </c>
      <c r="C558" s="2" t="s">
        <v>853</v>
      </c>
      <c r="D558" s="2" t="s">
        <v>13</v>
      </c>
      <c r="E558" s="2">
        <v>5.0</v>
      </c>
      <c r="F558" s="6">
        <f>IFERROR(__xludf.DUMMYFUNCTION("""COMPUTED_VALUE"""),1.28143700002692)</f>
        <v>1.281437</v>
      </c>
    </row>
    <row r="559">
      <c r="A559" s="6" t="str">
        <f t="shared" si="3"/>
        <v>P3</v>
      </c>
      <c r="B559" s="2">
        <v>171.0</v>
      </c>
      <c r="C559" s="2" t="s">
        <v>858</v>
      </c>
      <c r="D559" s="2" t="s">
        <v>13</v>
      </c>
      <c r="E559" s="2">
        <v>10.0</v>
      </c>
      <c r="F559" s="6">
        <f>IFERROR(__xludf.DUMMYFUNCTION("""COMPUTED_VALUE"""),1.55347329995129)</f>
        <v>1.5534733</v>
      </c>
    </row>
    <row r="560">
      <c r="A560" s="6" t="str">
        <f t="shared" si="3"/>
        <v>P3</v>
      </c>
      <c r="B560" s="2">
        <v>172.0</v>
      </c>
      <c r="C560" s="2" t="s">
        <v>863</v>
      </c>
      <c r="D560" s="2" t="s">
        <v>13</v>
      </c>
      <c r="E560" s="2">
        <v>10.0</v>
      </c>
      <c r="F560" s="6">
        <f>IFERROR(__xludf.DUMMYFUNCTION("""COMPUTED_VALUE"""),1.08504379994701)</f>
        <v>1.0850438</v>
      </c>
    </row>
    <row r="561">
      <c r="A561" s="6" t="str">
        <f t="shared" si="3"/>
        <v>P3</v>
      </c>
      <c r="B561" s="2">
        <v>173.0</v>
      </c>
      <c r="C561" s="2" t="s">
        <v>868</v>
      </c>
      <c r="D561" s="2" t="s">
        <v>13</v>
      </c>
      <c r="E561" s="2">
        <v>10.0</v>
      </c>
      <c r="F561" s="6">
        <f>IFERROR(__xludf.DUMMYFUNCTION("""COMPUTED_VALUE"""),1.9850403999444)</f>
        <v>1.9850404</v>
      </c>
    </row>
    <row r="562">
      <c r="A562" s="6" t="str">
        <f t="shared" si="3"/>
        <v>P3</v>
      </c>
      <c r="B562" s="2">
        <v>174.0</v>
      </c>
      <c r="C562" s="2" t="s">
        <v>873</v>
      </c>
      <c r="D562" s="2" t="s">
        <v>13</v>
      </c>
      <c r="E562" s="2">
        <v>5.0</v>
      </c>
      <c r="F562" s="6">
        <f>IFERROR(__xludf.DUMMYFUNCTION("""COMPUTED_VALUE"""),1.37317430006805)</f>
        <v>1.3731743</v>
      </c>
    </row>
    <row r="563">
      <c r="A563" s="6" t="str">
        <f t="shared" si="3"/>
        <v>P3</v>
      </c>
      <c r="B563" s="2">
        <v>175.0</v>
      </c>
      <c r="C563" s="2" t="s">
        <v>878</v>
      </c>
      <c r="D563" s="2" t="s">
        <v>13</v>
      </c>
      <c r="E563" s="2">
        <v>10.0</v>
      </c>
      <c r="F563" s="6">
        <f>IFERROR(__xludf.DUMMYFUNCTION("""COMPUTED_VALUE"""),1.48247639997862)</f>
        <v>1.4824764</v>
      </c>
    </row>
    <row r="564">
      <c r="A564" s="6" t="str">
        <f t="shared" si="3"/>
        <v>P3</v>
      </c>
      <c r="B564" s="2">
        <v>176.0</v>
      </c>
      <c r="C564" s="2" t="s">
        <v>883</v>
      </c>
      <c r="D564" s="2" t="s">
        <v>13</v>
      </c>
      <c r="E564" s="2">
        <v>5.0</v>
      </c>
      <c r="F564" s="6">
        <f>IFERROR(__xludf.DUMMYFUNCTION("""COMPUTED_VALUE"""),1.23763560003135)</f>
        <v>1.2376356</v>
      </c>
    </row>
    <row r="565">
      <c r="A565" s="6" t="str">
        <f t="shared" si="3"/>
        <v>P3</v>
      </c>
      <c r="B565" s="2">
        <v>177.0</v>
      </c>
      <c r="C565" s="2" t="s">
        <v>888</v>
      </c>
      <c r="D565" s="2" t="s">
        <v>13</v>
      </c>
      <c r="E565" s="2">
        <v>5.0</v>
      </c>
      <c r="F565" s="6">
        <f>IFERROR(__xludf.DUMMYFUNCTION("""COMPUTED_VALUE"""),1.14697620004881)</f>
        <v>1.1469762</v>
      </c>
    </row>
    <row r="566">
      <c r="A566" s="6" t="str">
        <f t="shared" si="3"/>
        <v>P3</v>
      </c>
      <c r="B566" s="2">
        <v>178.0</v>
      </c>
      <c r="C566" s="2" t="s">
        <v>893</v>
      </c>
      <c r="D566" s="2" t="s">
        <v>13</v>
      </c>
      <c r="E566" s="2">
        <v>10.0</v>
      </c>
      <c r="F566" s="6">
        <f>IFERROR(__xludf.DUMMYFUNCTION("""COMPUTED_VALUE"""),0.936791000072844)</f>
        <v>0.9367910001</v>
      </c>
    </row>
    <row r="567">
      <c r="A567" s="6" t="str">
        <f t="shared" si="3"/>
        <v>P3</v>
      </c>
      <c r="B567" s="2">
        <v>179.0</v>
      </c>
      <c r="C567" s="2" t="s">
        <v>898</v>
      </c>
      <c r="D567" s="2" t="s">
        <v>13</v>
      </c>
      <c r="E567" s="2">
        <v>10.0</v>
      </c>
      <c r="F567" s="6">
        <f>IFERROR(__xludf.DUMMYFUNCTION("""COMPUTED_VALUE"""),1.43750300002284)</f>
        <v>1.437503</v>
      </c>
    </row>
    <row r="568">
      <c r="A568" s="6" t="str">
        <f t="shared" si="3"/>
        <v>P3</v>
      </c>
      <c r="B568" s="2">
        <v>180.0</v>
      </c>
      <c r="C568" s="2" t="s">
        <v>903</v>
      </c>
      <c r="D568" s="2" t="s">
        <v>13</v>
      </c>
      <c r="E568" s="2">
        <v>10.0</v>
      </c>
      <c r="F568" s="6">
        <f>IFERROR(__xludf.DUMMYFUNCTION("""COMPUTED_VALUE"""),1.61502539995126)</f>
        <v>1.6150254</v>
      </c>
    </row>
    <row r="569">
      <c r="A569" s="6" t="str">
        <f t="shared" si="3"/>
        <v>P3</v>
      </c>
      <c r="B569" s="2">
        <v>181.0</v>
      </c>
      <c r="C569" s="2" t="s">
        <v>908</v>
      </c>
      <c r="D569" s="2" t="s">
        <v>13</v>
      </c>
      <c r="E569" s="2">
        <v>5.0</v>
      </c>
      <c r="F569" s="6">
        <f>IFERROR(__xludf.DUMMYFUNCTION("""COMPUTED_VALUE"""),1.26502209994941)</f>
        <v>1.2650221</v>
      </c>
    </row>
    <row r="570">
      <c r="A570" s="6" t="str">
        <f t="shared" si="3"/>
        <v>P3</v>
      </c>
      <c r="B570" s="2">
        <v>182.0</v>
      </c>
      <c r="C570" s="2" t="s">
        <v>913</v>
      </c>
      <c r="D570" s="2" t="s">
        <v>13</v>
      </c>
      <c r="E570" s="2">
        <v>5.0</v>
      </c>
      <c r="F570" s="6">
        <f>IFERROR(__xludf.DUMMYFUNCTION("""COMPUTED_VALUE"""),1.51603970001451)</f>
        <v>1.5160397</v>
      </c>
    </row>
    <row r="571">
      <c r="A571" s="6" t="str">
        <f t="shared" si="3"/>
        <v>P3</v>
      </c>
      <c r="B571" s="2">
        <v>183.0</v>
      </c>
      <c r="C571" s="2" t="s">
        <v>918</v>
      </c>
      <c r="D571" s="2" t="s">
        <v>13</v>
      </c>
      <c r="E571" s="2">
        <v>10.0</v>
      </c>
      <c r="F571" s="6">
        <f>IFERROR(__xludf.DUMMYFUNCTION("""COMPUTED_VALUE"""),1.95054430002346)</f>
        <v>1.9505443</v>
      </c>
    </row>
    <row r="572">
      <c r="A572" s="6" t="str">
        <f t="shared" si="3"/>
        <v>P3</v>
      </c>
      <c r="B572" s="2">
        <v>184.0</v>
      </c>
      <c r="C572" s="2" t="s">
        <v>923</v>
      </c>
      <c r="D572" s="2" t="s">
        <v>13</v>
      </c>
      <c r="E572" s="2">
        <v>5.0</v>
      </c>
      <c r="F572" s="6">
        <f>IFERROR(__xludf.DUMMYFUNCTION("""COMPUTED_VALUE"""),1.29925339994952)</f>
        <v>1.2992534</v>
      </c>
    </row>
    <row r="573">
      <c r="A573" s="6" t="str">
        <f t="shared" si="3"/>
        <v>P3</v>
      </c>
      <c r="B573" s="2">
        <v>185.0</v>
      </c>
      <c r="C573" s="2" t="s">
        <v>928</v>
      </c>
      <c r="D573" s="2" t="s">
        <v>13</v>
      </c>
      <c r="E573" s="2">
        <v>5.0</v>
      </c>
      <c r="F573" s="6">
        <f>IFERROR(__xludf.DUMMYFUNCTION("""COMPUTED_VALUE"""),1.39739239995833)</f>
        <v>1.3973924</v>
      </c>
    </row>
    <row r="574">
      <c r="A574" s="6" t="str">
        <f t="shared" si="3"/>
        <v>P3</v>
      </c>
      <c r="B574" s="2">
        <v>186.0</v>
      </c>
      <c r="C574" s="2" t="s">
        <v>932</v>
      </c>
      <c r="D574" s="2" t="s">
        <v>13</v>
      </c>
      <c r="E574" s="2">
        <v>10.0</v>
      </c>
      <c r="F574" s="6">
        <f>IFERROR(__xludf.DUMMYFUNCTION("""COMPUTED_VALUE"""),1.28453780000563)</f>
        <v>1.2845378</v>
      </c>
    </row>
    <row r="575">
      <c r="A575" s="6" t="str">
        <f t="shared" si="3"/>
        <v>P3</v>
      </c>
      <c r="B575" s="2">
        <v>189.0</v>
      </c>
      <c r="C575" s="2" t="s">
        <v>945</v>
      </c>
      <c r="D575" s="2" t="s">
        <v>13</v>
      </c>
      <c r="E575" s="2">
        <v>5.0</v>
      </c>
      <c r="F575" s="6">
        <f>IFERROR(__xludf.DUMMYFUNCTION("""COMPUTED_VALUE"""),1.23386609996669)</f>
        <v>1.2338661</v>
      </c>
    </row>
    <row r="576">
      <c r="A576" s="6" t="str">
        <f t="shared" si="3"/>
        <v>P3</v>
      </c>
      <c r="B576" s="2">
        <v>192.0</v>
      </c>
      <c r="C576" s="2" t="s">
        <v>958</v>
      </c>
      <c r="D576" s="2" t="s">
        <v>13</v>
      </c>
      <c r="E576" s="2">
        <v>10.0</v>
      </c>
      <c r="F576" s="6">
        <f>IFERROR(__xludf.DUMMYFUNCTION("""COMPUTED_VALUE"""),1.05992760008666)</f>
        <v>1.0599276</v>
      </c>
    </row>
    <row r="577">
      <c r="A577" s="6" t="str">
        <f t="shared" si="3"/>
        <v>P3</v>
      </c>
      <c r="B577" s="2">
        <v>193.0</v>
      </c>
      <c r="C577" s="2" t="s">
        <v>963</v>
      </c>
      <c r="D577" s="2" t="s">
        <v>13</v>
      </c>
      <c r="E577" s="2">
        <v>5.0</v>
      </c>
      <c r="F577" s="6">
        <f>IFERROR(__xludf.DUMMYFUNCTION("""COMPUTED_VALUE"""),1.05855009995866)</f>
        <v>1.0585501</v>
      </c>
    </row>
    <row r="578">
      <c r="A578" s="6" t="str">
        <f t="shared" si="3"/>
        <v>P3</v>
      </c>
      <c r="B578" s="2">
        <v>194.0</v>
      </c>
      <c r="C578" s="2" t="s">
        <v>968</v>
      </c>
      <c r="D578" s="2" t="s">
        <v>13</v>
      </c>
      <c r="E578" s="2">
        <v>5.0</v>
      </c>
      <c r="F578" s="6">
        <f>IFERROR(__xludf.DUMMYFUNCTION("""COMPUTED_VALUE"""),1.05328589992132)</f>
        <v>1.0532859</v>
      </c>
    </row>
    <row r="579">
      <c r="A579" s="6" t="str">
        <f t="shared" si="3"/>
        <v>P3</v>
      </c>
      <c r="B579" s="2">
        <v>195.0</v>
      </c>
      <c r="C579" s="2" t="s">
        <v>973</v>
      </c>
      <c r="D579" s="2" t="s">
        <v>13</v>
      </c>
      <c r="E579" s="2">
        <v>5.0</v>
      </c>
      <c r="F579" s="6">
        <f>IFERROR(__xludf.DUMMYFUNCTION("""COMPUTED_VALUE"""),1.28061319992411)</f>
        <v>1.2806132</v>
      </c>
    </row>
    <row r="580">
      <c r="A580" s="6" t="str">
        <f t="shared" si="3"/>
        <v>P3</v>
      </c>
      <c r="B580" s="2">
        <v>196.0</v>
      </c>
      <c r="C580" s="2" t="s">
        <v>978</v>
      </c>
      <c r="D580" s="2" t="s">
        <v>13</v>
      </c>
      <c r="E580" s="2">
        <v>10.0</v>
      </c>
      <c r="F580" s="6">
        <f>IFERROR(__xludf.DUMMYFUNCTION("""COMPUTED_VALUE"""),2.79678440000861)</f>
        <v>2.7967844</v>
      </c>
    </row>
    <row r="581">
      <c r="A581" s="6" t="str">
        <f t="shared" si="3"/>
        <v>P3</v>
      </c>
      <c r="B581" s="2">
        <v>197.0</v>
      </c>
      <c r="C581" s="2" t="s">
        <v>983</v>
      </c>
      <c r="D581" s="2" t="s">
        <v>13</v>
      </c>
      <c r="E581" s="2">
        <v>10.0</v>
      </c>
      <c r="F581" s="6">
        <f>IFERROR(__xludf.DUMMYFUNCTION("""COMPUTED_VALUE"""),1.30682049994356)</f>
        <v>1.3068205</v>
      </c>
    </row>
    <row r="582">
      <c r="A582" s="6" t="str">
        <f t="shared" si="3"/>
        <v>P3</v>
      </c>
      <c r="B582" s="2">
        <v>198.0</v>
      </c>
      <c r="C582" s="2" t="s">
        <v>988</v>
      </c>
      <c r="D582" s="2" t="s">
        <v>13</v>
      </c>
      <c r="E582" s="2">
        <v>5.0</v>
      </c>
      <c r="F582" s="6">
        <f>IFERROR(__xludf.DUMMYFUNCTION("""COMPUTED_VALUE"""),1.04566480009816)</f>
        <v>1.0456648</v>
      </c>
    </row>
    <row r="583">
      <c r="A583" s="6" t="str">
        <f t="shared" si="3"/>
        <v>P3</v>
      </c>
      <c r="B583" s="2">
        <v>199.0</v>
      </c>
      <c r="C583" s="2" t="s">
        <v>993</v>
      </c>
      <c r="D583" s="2" t="s">
        <v>13</v>
      </c>
      <c r="E583" s="2">
        <v>5.0</v>
      </c>
      <c r="F583" s="6">
        <f>IFERROR(__xludf.DUMMYFUNCTION("""COMPUTED_VALUE"""),1.48210190003737)</f>
        <v>1.4821019</v>
      </c>
    </row>
    <row r="584">
      <c r="A584" s="6" t="str">
        <f t="shared" si="3"/>
        <v>P3</v>
      </c>
      <c r="B584" s="2">
        <v>0.0</v>
      </c>
      <c r="C584" s="2" t="s">
        <v>16</v>
      </c>
      <c r="D584" s="2" t="s">
        <v>17</v>
      </c>
      <c r="E584" s="2">
        <v>10.0</v>
      </c>
      <c r="F584" s="6">
        <f>IFERROR(__xludf.DUMMYFUNCTION("""COMPUTED_VALUE"""),1.16759330000013)</f>
        <v>1.1675933</v>
      </c>
    </row>
    <row r="585">
      <c r="A585" s="6" t="str">
        <f t="shared" si="3"/>
        <v>P3</v>
      </c>
      <c r="B585" s="2">
        <v>1.0</v>
      </c>
      <c r="C585" s="2" t="s">
        <v>22</v>
      </c>
      <c r="D585" s="2" t="s">
        <v>17</v>
      </c>
      <c r="E585" s="2">
        <v>5.0</v>
      </c>
      <c r="F585" s="6">
        <f>IFERROR(__xludf.DUMMYFUNCTION("""COMPUTED_VALUE"""),1.65810359999977)</f>
        <v>1.6581036</v>
      </c>
    </row>
    <row r="586">
      <c r="A586" s="6" t="str">
        <f t="shared" si="3"/>
        <v>P3</v>
      </c>
      <c r="B586" s="2">
        <v>2.0</v>
      </c>
      <c r="C586" s="2" t="s">
        <v>27</v>
      </c>
      <c r="D586" s="2" t="s">
        <v>17</v>
      </c>
      <c r="E586" s="2">
        <v>10.0</v>
      </c>
      <c r="F586" s="6">
        <f>IFERROR(__xludf.DUMMYFUNCTION("""COMPUTED_VALUE"""),1.36235920000035)</f>
        <v>1.3623592</v>
      </c>
    </row>
    <row r="587">
      <c r="A587" s="6" t="str">
        <f t="shared" si="3"/>
        <v>P3</v>
      </c>
      <c r="B587" s="2">
        <v>3.0</v>
      </c>
      <c r="C587" s="2" t="s">
        <v>32</v>
      </c>
      <c r="D587" s="2" t="s">
        <v>17</v>
      </c>
      <c r="E587" s="2">
        <v>10.0</v>
      </c>
      <c r="F587" s="6">
        <f>IFERROR(__xludf.DUMMYFUNCTION("""COMPUTED_VALUE"""),1.21138679999967)</f>
        <v>1.2113868</v>
      </c>
    </row>
    <row r="588">
      <c r="A588" s="6" t="str">
        <f t="shared" si="3"/>
        <v>P3</v>
      </c>
      <c r="B588" s="2">
        <v>4.0</v>
      </c>
      <c r="C588" s="2" t="s">
        <v>37</v>
      </c>
      <c r="D588" s="2" t="s">
        <v>17</v>
      </c>
      <c r="E588" s="2">
        <v>10.0</v>
      </c>
      <c r="F588" s="6">
        <f>IFERROR(__xludf.DUMMYFUNCTION("""COMPUTED_VALUE"""),1.70854460000009)</f>
        <v>1.7085446</v>
      </c>
    </row>
    <row r="589">
      <c r="A589" s="6" t="str">
        <f t="shared" si="3"/>
        <v>P3</v>
      </c>
      <c r="B589" s="2">
        <v>5.0</v>
      </c>
      <c r="C589" s="2" t="s">
        <v>42</v>
      </c>
      <c r="D589" s="2" t="s">
        <v>17</v>
      </c>
      <c r="E589" s="2">
        <v>10.0</v>
      </c>
      <c r="F589" s="6">
        <f>IFERROR(__xludf.DUMMYFUNCTION("""COMPUTED_VALUE"""),1.74914050000006)</f>
        <v>1.7491405</v>
      </c>
    </row>
    <row r="590">
      <c r="A590" s="2" t="s">
        <v>1002</v>
      </c>
      <c r="B590" s="2">
        <v>6.0</v>
      </c>
      <c r="C590" s="2" t="s">
        <v>47</v>
      </c>
      <c r="D590" s="2" t="s">
        <v>17</v>
      </c>
      <c r="E590" s="2">
        <v>5.0</v>
      </c>
      <c r="F590" s="6">
        <f>IFERROR(__xludf.DUMMYFUNCTION("""COMPUTED_VALUE"""),1.31911300000001)</f>
        <v>1.319113</v>
      </c>
    </row>
    <row r="591">
      <c r="A591" s="6" t="str">
        <f t="shared" ref="A591:A789" si="4"> "P4"</f>
        <v>P4</v>
      </c>
      <c r="B591" s="2">
        <v>7.0</v>
      </c>
      <c r="C591" s="2" t="s">
        <v>52</v>
      </c>
      <c r="D591" s="2" t="s">
        <v>17</v>
      </c>
      <c r="E591" s="2">
        <v>5.0</v>
      </c>
      <c r="F591" s="6">
        <f>IFERROR(__xludf.DUMMYFUNCTION("""COMPUTED_VALUE"""),1.25278090000028)</f>
        <v>1.2527809</v>
      </c>
    </row>
    <row r="592">
      <c r="A592" s="6" t="str">
        <f t="shared" si="4"/>
        <v>P4</v>
      </c>
      <c r="B592" s="2">
        <v>8.0</v>
      </c>
      <c r="C592" s="2" t="s">
        <v>57</v>
      </c>
      <c r="D592" s="2" t="s">
        <v>17</v>
      </c>
      <c r="E592" s="2">
        <v>5.0</v>
      </c>
      <c r="F592" s="6">
        <f>IFERROR(__xludf.DUMMYFUNCTION("""COMPUTED_VALUE"""),1.58218479999959)</f>
        <v>1.5821848</v>
      </c>
    </row>
    <row r="593">
      <c r="A593" s="6" t="str">
        <f t="shared" si="4"/>
        <v>P4</v>
      </c>
      <c r="B593" s="2">
        <v>9.0</v>
      </c>
      <c r="C593" s="2" t="s">
        <v>62</v>
      </c>
      <c r="D593" s="2" t="s">
        <v>17</v>
      </c>
      <c r="E593" s="2">
        <v>10.0</v>
      </c>
      <c r="F593" s="6">
        <f>IFERROR(__xludf.DUMMYFUNCTION("""COMPUTED_VALUE"""),1.26059050000003)</f>
        <v>1.2605905</v>
      </c>
    </row>
    <row r="594">
      <c r="A594" s="6" t="str">
        <f t="shared" si="4"/>
        <v>P4</v>
      </c>
      <c r="B594" s="2">
        <v>10.0</v>
      </c>
      <c r="C594" s="2" t="s">
        <v>67</v>
      </c>
      <c r="D594" s="2" t="s">
        <v>17</v>
      </c>
      <c r="E594" s="2">
        <v>5.0</v>
      </c>
      <c r="F594" s="6">
        <f>IFERROR(__xludf.DUMMYFUNCTION("""COMPUTED_VALUE"""),2.06599370000003)</f>
        <v>2.0659937</v>
      </c>
    </row>
    <row r="595">
      <c r="A595" s="6" t="str">
        <f t="shared" si="4"/>
        <v>P4</v>
      </c>
      <c r="B595" s="2">
        <v>11.0</v>
      </c>
      <c r="C595" s="2" t="s">
        <v>72</v>
      </c>
      <c r="D595" s="2" t="s">
        <v>17</v>
      </c>
      <c r="E595" s="2">
        <v>5.0</v>
      </c>
      <c r="F595" s="6">
        <f>IFERROR(__xludf.DUMMYFUNCTION("""COMPUTED_VALUE"""),1.18431399999963)</f>
        <v>1.184314</v>
      </c>
    </row>
    <row r="596">
      <c r="A596" s="6" t="str">
        <f t="shared" si="4"/>
        <v>P4</v>
      </c>
      <c r="B596" s="2">
        <v>12.0</v>
      </c>
      <c r="C596" s="2" t="s">
        <v>76</v>
      </c>
      <c r="D596" s="2" t="s">
        <v>17</v>
      </c>
      <c r="E596" s="2">
        <v>10.0</v>
      </c>
      <c r="F596" s="6">
        <f>IFERROR(__xludf.DUMMYFUNCTION("""COMPUTED_VALUE"""),1.44451939999999)</f>
        <v>1.4445194</v>
      </c>
    </row>
    <row r="597">
      <c r="A597" s="6" t="str">
        <f t="shared" si="4"/>
        <v>P4</v>
      </c>
      <c r="B597" s="2">
        <v>13.0</v>
      </c>
      <c r="C597" s="2" t="s">
        <v>81</v>
      </c>
      <c r="D597" s="2" t="s">
        <v>17</v>
      </c>
      <c r="E597" s="2">
        <v>5.0</v>
      </c>
      <c r="F597" s="6">
        <f>IFERROR(__xludf.DUMMYFUNCTION("""COMPUTED_VALUE"""),1.53584890000001)</f>
        <v>1.5358489</v>
      </c>
    </row>
    <row r="598">
      <c r="A598" s="6" t="str">
        <f t="shared" si="4"/>
        <v>P4</v>
      </c>
      <c r="B598" s="2">
        <v>14.0</v>
      </c>
      <c r="C598" s="2" t="s">
        <v>86</v>
      </c>
      <c r="D598" s="2" t="s">
        <v>17</v>
      </c>
      <c r="E598" s="2">
        <v>5.0</v>
      </c>
      <c r="F598" s="6">
        <f>IFERROR(__xludf.DUMMYFUNCTION("""COMPUTED_VALUE"""),1.28451129999984)</f>
        <v>1.2845113</v>
      </c>
    </row>
    <row r="599">
      <c r="A599" s="6" t="str">
        <f t="shared" si="4"/>
        <v>P4</v>
      </c>
      <c r="B599" s="2">
        <v>15.0</v>
      </c>
      <c r="C599" s="2" t="s">
        <v>91</v>
      </c>
      <c r="D599" s="2" t="s">
        <v>17</v>
      </c>
      <c r="E599" s="2">
        <v>10.0</v>
      </c>
      <c r="F599" s="6">
        <f>IFERROR(__xludf.DUMMYFUNCTION("""COMPUTED_VALUE"""),2.22334649999993)</f>
        <v>2.2233465</v>
      </c>
    </row>
    <row r="600">
      <c r="A600" s="6" t="str">
        <f t="shared" si="4"/>
        <v>P4</v>
      </c>
      <c r="B600" s="2">
        <v>16.0</v>
      </c>
      <c r="C600" s="2" t="s">
        <v>96</v>
      </c>
      <c r="D600" s="2" t="s">
        <v>17</v>
      </c>
      <c r="E600" s="2">
        <v>10.0</v>
      </c>
      <c r="F600" s="6">
        <f>IFERROR(__xludf.DUMMYFUNCTION("""COMPUTED_VALUE"""),1.46421100000043)</f>
        <v>1.464211</v>
      </c>
    </row>
    <row r="601">
      <c r="A601" s="6" t="str">
        <f t="shared" si="4"/>
        <v>P4</v>
      </c>
      <c r="B601" s="2">
        <v>17.0</v>
      </c>
      <c r="C601" s="2" t="s">
        <v>100</v>
      </c>
      <c r="D601" s="2" t="s">
        <v>17</v>
      </c>
      <c r="E601" s="2">
        <v>5.0</v>
      </c>
      <c r="F601" s="6">
        <f>IFERROR(__xludf.DUMMYFUNCTION("""COMPUTED_VALUE"""),1.16837650000024)</f>
        <v>1.1683765</v>
      </c>
    </row>
    <row r="602">
      <c r="A602" s="6" t="str">
        <f t="shared" si="4"/>
        <v>P4</v>
      </c>
      <c r="B602" s="2">
        <v>18.0</v>
      </c>
      <c r="C602" s="2" t="s">
        <v>105</v>
      </c>
      <c r="D602" s="2" t="s">
        <v>17</v>
      </c>
      <c r="E602" s="2">
        <v>10.0</v>
      </c>
      <c r="F602" s="6">
        <f>IFERROR(__xludf.DUMMYFUNCTION("""COMPUTED_VALUE"""),1.74078379999991)</f>
        <v>1.7407838</v>
      </c>
    </row>
    <row r="603">
      <c r="A603" s="6" t="str">
        <f t="shared" si="4"/>
        <v>P4</v>
      </c>
      <c r="B603" s="2">
        <v>19.0</v>
      </c>
      <c r="C603" s="2" t="s">
        <v>110</v>
      </c>
      <c r="D603" s="2" t="s">
        <v>17</v>
      </c>
      <c r="E603" s="2">
        <v>5.0</v>
      </c>
      <c r="F603" s="6">
        <f>IFERROR(__xludf.DUMMYFUNCTION("""COMPUTED_VALUE"""),1.42080209999994)</f>
        <v>1.4208021</v>
      </c>
    </row>
    <row r="604">
      <c r="A604" s="6" t="str">
        <f t="shared" si="4"/>
        <v>P4</v>
      </c>
      <c r="B604" s="2">
        <v>20.0</v>
      </c>
      <c r="C604" s="2" t="s">
        <v>115</v>
      </c>
      <c r="D604" s="2" t="s">
        <v>17</v>
      </c>
      <c r="E604" s="2">
        <v>5.0</v>
      </c>
      <c r="F604" s="6">
        <f>IFERROR(__xludf.DUMMYFUNCTION("""COMPUTED_VALUE"""),1.38958349999984)</f>
        <v>1.3895835</v>
      </c>
    </row>
    <row r="605">
      <c r="A605" s="6" t="str">
        <f t="shared" si="4"/>
        <v>P4</v>
      </c>
      <c r="B605" s="2">
        <v>21.0</v>
      </c>
      <c r="C605" s="2" t="s">
        <v>120</v>
      </c>
      <c r="D605" s="2" t="s">
        <v>17</v>
      </c>
      <c r="E605" s="2">
        <v>5.0</v>
      </c>
      <c r="F605" s="6">
        <f>IFERROR(__xludf.DUMMYFUNCTION("""COMPUTED_VALUE"""),1.39922389999992)</f>
        <v>1.3992239</v>
      </c>
    </row>
    <row r="606">
      <c r="A606" s="6" t="str">
        <f t="shared" si="4"/>
        <v>P4</v>
      </c>
      <c r="B606" s="2">
        <v>22.0</v>
      </c>
      <c r="C606" s="2" t="s">
        <v>125</v>
      </c>
      <c r="D606" s="2" t="s">
        <v>17</v>
      </c>
      <c r="E606" s="2">
        <v>10.0</v>
      </c>
      <c r="F606" s="6">
        <f>IFERROR(__xludf.DUMMYFUNCTION("""COMPUTED_VALUE"""),1.54346729999997)</f>
        <v>1.5434673</v>
      </c>
    </row>
    <row r="607">
      <c r="A607" s="6" t="str">
        <f t="shared" si="4"/>
        <v>P4</v>
      </c>
      <c r="B607" s="2">
        <v>23.0</v>
      </c>
      <c r="C607" s="2" t="s">
        <v>129</v>
      </c>
      <c r="D607" s="2" t="s">
        <v>17</v>
      </c>
      <c r="E607" s="2">
        <v>10.0</v>
      </c>
      <c r="F607" s="6">
        <f>IFERROR(__xludf.DUMMYFUNCTION("""COMPUTED_VALUE"""),1.4943905)</f>
        <v>1.4943905</v>
      </c>
    </row>
    <row r="608">
      <c r="A608" s="6" t="str">
        <f t="shared" si="4"/>
        <v>P4</v>
      </c>
      <c r="B608" s="2">
        <v>24.0</v>
      </c>
      <c r="C608" s="2" t="s">
        <v>134</v>
      </c>
      <c r="D608" s="2" t="s">
        <v>17</v>
      </c>
      <c r="E608" s="2">
        <v>5.0</v>
      </c>
      <c r="F608" s="6">
        <f>IFERROR(__xludf.DUMMYFUNCTION("""COMPUTED_VALUE"""),1.58967000000029)</f>
        <v>1.58967</v>
      </c>
    </row>
    <row r="609">
      <c r="A609" s="6" t="str">
        <f t="shared" si="4"/>
        <v>P4</v>
      </c>
      <c r="B609" s="2">
        <v>25.0</v>
      </c>
      <c r="C609" s="2" t="s">
        <v>139</v>
      </c>
      <c r="D609" s="2" t="s">
        <v>17</v>
      </c>
      <c r="E609" s="2">
        <v>5.0</v>
      </c>
      <c r="F609" s="6">
        <f>IFERROR(__xludf.DUMMYFUNCTION("""COMPUTED_VALUE"""),1.06582389999994)</f>
        <v>1.0658239</v>
      </c>
    </row>
    <row r="610">
      <c r="A610" s="6" t="str">
        <f t="shared" si="4"/>
        <v>P4</v>
      </c>
      <c r="B610" s="2">
        <v>26.0</v>
      </c>
      <c r="C610" s="2" t="s">
        <v>144</v>
      </c>
      <c r="D610" s="2" t="s">
        <v>17</v>
      </c>
      <c r="E610" s="2">
        <v>5.0</v>
      </c>
      <c r="F610" s="6">
        <f>IFERROR(__xludf.DUMMYFUNCTION("""COMPUTED_VALUE"""),1.58940290000009)</f>
        <v>1.5894029</v>
      </c>
    </row>
    <row r="611">
      <c r="A611" s="6" t="str">
        <f t="shared" si="4"/>
        <v>P4</v>
      </c>
      <c r="B611" s="2">
        <v>27.0</v>
      </c>
      <c r="C611" s="2" t="s">
        <v>149</v>
      </c>
      <c r="D611" s="2" t="s">
        <v>17</v>
      </c>
      <c r="E611" s="2">
        <v>10.0</v>
      </c>
      <c r="F611" s="6">
        <f>IFERROR(__xludf.DUMMYFUNCTION("""COMPUTED_VALUE"""),1.60899440000002)</f>
        <v>1.6089944</v>
      </c>
    </row>
    <row r="612">
      <c r="A612" s="6" t="str">
        <f t="shared" si="4"/>
        <v>P4</v>
      </c>
      <c r="B612" s="2">
        <v>28.0</v>
      </c>
      <c r="C612" s="2" t="s">
        <v>154</v>
      </c>
      <c r="D612" s="2" t="s">
        <v>17</v>
      </c>
      <c r="E612" s="2">
        <v>5.0</v>
      </c>
      <c r="F612" s="6">
        <f>IFERROR(__xludf.DUMMYFUNCTION("""COMPUTED_VALUE"""),1.55550459999994)</f>
        <v>1.5555046</v>
      </c>
    </row>
    <row r="613">
      <c r="A613" s="6" t="str">
        <f t="shared" si="4"/>
        <v>P4</v>
      </c>
      <c r="B613" s="2">
        <v>29.0</v>
      </c>
      <c r="C613" s="2" t="s">
        <v>159</v>
      </c>
      <c r="D613" s="2" t="s">
        <v>17</v>
      </c>
      <c r="E613" s="2">
        <v>10.0</v>
      </c>
      <c r="F613" s="6">
        <f>IFERROR(__xludf.DUMMYFUNCTION("""COMPUTED_VALUE"""),1.54169499999989)</f>
        <v>1.541695</v>
      </c>
    </row>
    <row r="614">
      <c r="A614" s="6" t="str">
        <f t="shared" si="4"/>
        <v>P4</v>
      </c>
      <c r="B614" s="2">
        <v>30.0</v>
      </c>
      <c r="C614" s="2" t="s">
        <v>164</v>
      </c>
      <c r="D614" s="2" t="s">
        <v>17</v>
      </c>
      <c r="E614" s="2">
        <v>10.0</v>
      </c>
      <c r="F614" s="6">
        <f>IFERROR(__xludf.DUMMYFUNCTION("""COMPUTED_VALUE"""),2.30709929999966)</f>
        <v>2.3070993</v>
      </c>
    </row>
    <row r="615">
      <c r="A615" s="6" t="str">
        <f t="shared" si="4"/>
        <v>P4</v>
      </c>
      <c r="B615" s="2">
        <v>31.0</v>
      </c>
      <c r="C615" s="2" t="s">
        <v>169</v>
      </c>
      <c r="D615" s="2" t="s">
        <v>17</v>
      </c>
      <c r="E615" s="2">
        <v>10.0</v>
      </c>
      <c r="F615" s="6">
        <f>IFERROR(__xludf.DUMMYFUNCTION("""COMPUTED_VALUE"""),1.43391700000029)</f>
        <v>1.433917</v>
      </c>
    </row>
    <row r="616">
      <c r="A616" s="6" t="str">
        <f t="shared" si="4"/>
        <v>P4</v>
      </c>
      <c r="B616" s="2">
        <v>32.0</v>
      </c>
      <c r="C616" s="2" t="s">
        <v>174</v>
      </c>
      <c r="D616" s="2" t="s">
        <v>17</v>
      </c>
      <c r="E616" s="2">
        <v>5.0</v>
      </c>
      <c r="F616" s="6">
        <f>IFERROR(__xludf.DUMMYFUNCTION("""COMPUTED_VALUE"""),1.2490316999997)</f>
        <v>1.2490317</v>
      </c>
    </row>
    <row r="617">
      <c r="A617" s="6" t="str">
        <f t="shared" si="4"/>
        <v>P4</v>
      </c>
      <c r="B617" s="2">
        <v>33.0</v>
      </c>
      <c r="C617" s="2" t="s">
        <v>179</v>
      </c>
      <c r="D617" s="2" t="s">
        <v>17</v>
      </c>
      <c r="E617" s="2">
        <v>5.0</v>
      </c>
      <c r="F617" s="6">
        <f>IFERROR(__xludf.DUMMYFUNCTION("""COMPUTED_VALUE"""),1.44006829999989)</f>
        <v>1.4400683</v>
      </c>
    </row>
    <row r="618">
      <c r="A618" s="6" t="str">
        <f t="shared" si="4"/>
        <v>P4</v>
      </c>
      <c r="B618" s="2">
        <v>34.0</v>
      </c>
      <c r="C618" s="2" t="s">
        <v>184</v>
      </c>
      <c r="D618" s="2" t="s">
        <v>17</v>
      </c>
      <c r="E618" s="2">
        <v>10.0</v>
      </c>
      <c r="F618" s="6">
        <f>IFERROR(__xludf.DUMMYFUNCTION("""COMPUTED_VALUE"""),1.5597745)</f>
        <v>1.5597745</v>
      </c>
    </row>
    <row r="619">
      <c r="A619" s="6" t="str">
        <f t="shared" si="4"/>
        <v>P4</v>
      </c>
      <c r="B619" s="2">
        <v>35.0</v>
      </c>
      <c r="C619" s="2" t="s">
        <v>189</v>
      </c>
      <c r="D619" s="2" t="s">
        <v>17</v>
      </c>
      <c r="E619" s="2">
        <v>10.0</v>
      </c>
      <c r="F619" s="6">
        <f>IFERROR(__xludf.DUMMYFUNCTION("""COMPUTED_VALUE"""),2.44286250000004)</f>
        <v>2.4428625</v>
      </c>
    </row>
    <row r="620">
      <c r="A620" s="6" t="str">
        <f t="shared" si="4"/>
        <v>P4</v>
      </c>
      <c r="B620" s="2">
        <v>36.0</v>
      </c>
      <c r="C620" s="2" t="s">
        <v>194</v>
      </c>
      <c r="D620" s="2" t="s">
        <v>17</v>
      </c>
      <c r="E620" s="2">
        <v>10.0</v>
      </c>
      <c r="F620" s="6">
        <f>IFERROR(__xludf.DUMMYFUNCTION("""COMPUTED_VALUE"""),1.28222619999996)</f>
        <v>1.2822262</v>
      </c>
    </row>
    <row r="621">
      <c r="A621" s="6" t="str">
        <f t="shared" si="4"/>
        <v>P4</v>
      </c>
      <c r="B621" s="2">
        <v>37.0</v>
      </c>
      <c r="C621" s="2" t="s">
        <v>199</v>
      </c>
      <c r="D621" s="2" t="s">
        <v>17</v>
      </c>
      <c r="E621" s="2">
        <v>10.0</v>
      </c>
      <c r="F621" s="6">
        <f>IFERROR(__xludf.DUMMYFUNCTION("""COMPUTED_VALUE"""),1.55776149999974)</f>
        <v>1.5577615</v>
      </c>
    </row>
    <row r="622">
      <c r="A622" s="6" t="str">
        <f t="shared" si="4"/>
        <v>P4</v>
      </c>
      <c r="B622" s="2">
        <v>38.0</v>
      </c>
      <c r="C622" s="2" t="s">
        <v>204</v>
      </c>
      <c r="D622" s="2" t="s">
        <v>17</v>
      </c>
      <c r="E622" s="2">
        <v>10.0</v>
      </c>
      <c r="F622" s="6">
        <f>IFERROR(__xludf.DUMMYFUNCTION("""COMPUTED_VALUE"""),1.33327210000015)</f>
        <v>1.3332721</v>
      </c>
    </row>
    <row r="623">
      <c r="A623" s="6" t="str">
        <f t="shared" si="4"/>
        <v>P4</v>
      </c>
      <c r="B623" s="2">
        <v>39.0</v>
      </c>
      <c r="C623" s="2" t="s">
        <v>209</v>
      </c>
      <c r="D623" s="2" t="s">
        <v>17</v>
      </c>
      <c r="E623" s="2">
        <v>5.0</v>
      </c>
      <c r="F623" s="6">
        <f>IFERROR(__xludf.DUMMYFUNCTION("""COMPUTED_VALUE"""),1.43670780000002)</f>
        <v>1.4367078</v>
      </c>
    </row>
    <row r="624">
      <c r="A624" s="6" t="str">
        <f t="shared" si="4"/>
        <v>P4</v>
      </c>
      <c r="B624" s="2">
        <v>40.0</v>
      </c>
      <c r="C624" s="2" t="s">
        <v>214</v>
      </c>
      <c r="D624" s="2" t="s">
        <v>17</v>
      </c>
      <c r="E624" s="2">
        <v>10.0</v>
      </c>
      <c r="F624" s="6">
        <f>IFERROR(__xludf.DUMMYFUNCTION("""COMPUTED_VALUE"""),1.45880739999984)</f>
        <v>1.4588074</v>
      </c>
    </row>
    <row r="625">
      <c r="A625" s="6" t="str">
        <f t="shared" si="4"/>
        <v>P4</v>
      </c>
      <c r="B625" s="2">
        <v>41.0</v>
      </c>
      <c r="C625" s="2" t="s">
        <v>219</v>
      </c>
      <c r="D625" s="2" t="s">
        <v>17</v>
      </c>
      <c r="E625" s="2">
        <v>10.0</v>
      </c>
      <c r="F625" s="6">
        <f>IFERROR(__xludf.DUMMYFUNCTION("""COMPUTED_VALUE"""),1.64651990000038)</f>
        <v>1.6465199</v>
      </c>
    </row>
    <row r="626">
      <c r="A626" s="6" t="str">
        <f t="shared" si="4"/>
        <v>P4</v>
      </c>
      <c r="B626" s="2">
        <v>42.0</v>
      </c>
      <c r="C626" s="2" t="s">
        <v>224</v>
      </c>
      <c r="D626" s="2" t="s">
        <v>17</v>
      </c>
      <c r="E626" s="2">
        <v>10.0</v>
      </c>
      <c r="F626" s="6">
        <f>IFERROR(__xludf.DUMMYFUNCTION("""COMPUTED_VALUE"""),2.03578079999988)</f>
        <v>2.0357808</v>
      </c>
    </row>
    <row r="627">
      <c r="A627" s="6" t="str">
        <f t="shared" si="4"/>
        <v>P4</v>
      </c>
      <c r="B627" s="2">
        <v>43.0</v>
      </c>
      <c r="C627" s="2" t="s">
        <v>229</v>
      </c>
      <c r="D627" s="2" t="s">
        <v>17</v>
      </c>
      <c r="E627" s="2">
        <v>10.0</v>
      </c>
      <c r="F627" s="6">
        <f>IFERROR(__xludf.DUMMYFUNCTION("""COMPUTED_VALUE"""),1.20932110000012)</f>
        <v>1.2093211</v>
      </c>
    </row>
    <row r="628">
      <c r="A628" s="6" t="str">
        <f t="shared" si="4"/>
        <v>P4</v>
      </c>
      <c r="B628" s="2">
        <v>44.0</v>
      </c>
      <c r="C628" s="2" t="s">
        <v>234</v>
      </c>
      <c r="D628" s="2" t="s">
        <v>17</v>
      </c>
      <c r="E628" s="2">
        <v>10.0</v>
      </c>
      <c r="F628" s="6">
        <f>IFERROR(__xludf.DUMMYFUNCTION("""COMPUTED_VALUE"""),1.39539090000016)</f>
        <v>1.3953909</v>
      </c>
    </row>
    <row r="629">
      <c r="A629" s="6" t="str">
        <f t="shared" si="4"/>
        <v>P4</v>
      </c>
      <c r="B629" s="2">
        <v>45.0</v>
      </c>
      <c r="C629" s="2" t="s">
        <v>239</v>
      </c>
      <c r="D629" s="2" t="s">
        <v>17</v>
      </c>
      <c r="E629" s="2">
        <v>5.0</v>
      </c>
      <c r="F629" s="6">
        <f>IFERROR(__xludf.DUMMYFUNCTION("""COMPUTED_VALUE"""),1.18454209999981)</f>
        <v>1.1845421</v>
      </c>
    </row>
    <row r="630">
      <c r="A630" s="6" t="str">
        <f t="shared" si="4"/>
        <v>P4</v>
      </c>
      <c r="B630" s="2">
        <v>46.0</v>
      </c>
      <c r="C630" s="2" t="s">
        <v>244</v>
      </c>
      <c r="D630" s="2" t="s">
        <v>17</v>
      </c>
      <c r="E630" s="2">
        <v>5.0</v>
      </c>
      <c r="F630" s="6">
        <f>IFERROR(__xludf.DUMMYFUNCTION("""COMPUTED_VALUE"""),1.29036709999991)</f>
        <v>1.2903671</v>
      </c>
    </row>
    <row r="631">
      <c r="A631" s="6" t="str">
        <f t="shared" si="4"/>
        <v>P4</v>
      </c>
      <c r="B631" s="2">
        <v>47.0</v>
      </c>
      <c r="C631" s="2" t="s">
        <v>249</v>
      </c>
      <c r="D631" s="2" t="s">
        <v>17</v>
      </c>
      <c r="E631" s="2">
        <v>10.0</v>
      </c>
      <c r="F631" s="6">
        <f>IFERROR(__xludf.DUMMYFUNCTION("""COMPUTED_VALUE"""),1.6942011000001)</f>
        <v>1.6942011</v>
      </c>
    </row>
    <row r="632">
      <c r="A632" s="6" t="str">
        <f t="shared" si="4"/>
        <v>P4</v>
      </c>
      <c r="B632" s="2">
        <v>48.0</v>
      </c>
      <c r="C632" s="2" t="s">
        <v>254</v>
      </c>
      <c r="D632" s="2" t="s">
        <v>17</v>
      </c>
      <c r="E632" s="2">
        <v>10.0</v>
      </c>
      <c r="F632" s="6">
        <f>IFERROR(__xludf.DUMMYFUNCTION("""COMPUTED_VALUE"""),1.96106869999994)</f>
        <v>1.9610687</v>
      </c>
    </row>
    <row r="633">
      <c r="A633" s="6" t="str">
        <f t="shared" si="4"/>
        <v>P4</v>
      </c>
      <c r="B633" s="2">
        <v>49.0</v>
      </c>
      <c r="C633" s="2" t="s">
        <v>259</v>
      </c>
      <c r="D633" s="2" t="s">
        <v>17</v>
      </c>
      <c r="E633" s="2">
        <v>10.0</v>
      </c>
      <c r="F633" s="6">
        <f>IFERROR(__xludf.DUMMYFUNCTION("""COMPUTED_VALUE"""),1.70989250000002)</f>
        <v>1.7098925</v>
      </c>
    </row>
    <row r="634">
      <c r="A634" s="6" t="str">
        <f t="shared" si="4"/>
        <v>P4</v>
      </c>
      <c r="B634" s="2">
        <v>50.0</v>
      </c>
      <c r="C634" s="2" t="s">
        <v>264</v>
      </c>
      <c r="D634" s="2" t="s">
        <v>17</v>
      </c>
      <c r="E634" s="2">
        <v>5.0</v>
      </c>
      <c r="F634" s="6">
        <f>IFERROR(__xludf.DUMMYFUNCTION("""COMPUTED_VALUE"""),1.60457980000001)</f>
        <v>1.6045798</v>
      </c>
    </row>
    <row r="635">
      <c r="A635" s="6" t="str">
        <f t="shared" si="4"/>
        <v>P4</v>
      </c>
      <c r="B635" s="2">
        <v>51.0</v>
      </c>
      <c r="C635" s="2" t="s">
        <v>269</v>
      </c>
      <c r="D635" s="2" t="s">
        <v>17</v>
      </c>
      <c r="E635" s="2">
        <v>5.0</v>
      </c>
      <c r="F635" s="6">
        <f>IFERROR(__xludf.DUMMYFUNCTION("""COMPUTED_VALUE"""),1.10191739999982)</f>
        <v>1.1019174</v>
      </c>
    </row>
    <row r="636">
      <c r="A636" s="6" t="str">
        <f t="shared" si="4"/>
        <v>P4</v>
      </c>
      <c r="B636" s="2">
        <v>52.0</v>
      </c>
      <c r="C636" s="2" t="s">
        <v>274</v>
      </c>
      <c r="D636" s="2" t="s">
        <v>17</v>
      </c>
      <c r="E636" s="2">
        <v>5.0</v>
      </c>
      <c r="F636" s="6">
        <f>IFERROR(__xludf.DUMMYFUNCTION("""COMPUTED_VALUE"""),1.14966019999974)</f>
        <v>1.1496602</v>
      </c>
    </row>
    <row r="637">
      <c r="A637" s="6" t="str">
        <f t="shared" si="4"/>
        <v>P4</v>
      </c>
      <c r="B637" s="2">
        <v>53.0</v>
      </c>
      <c r="C637" s="2" t="s">
        <v>279</v>
      </c>
      <c r="D637" s="2" t="s">
        <v>17</v>
      </c>
      <c r="E637" s="2">
        <v>5.0</v>
      </c>
      <c r="F637" s="6">
        <f>IFERROR(__xludf.DUMMYFUNCTION("""COMPUTED_VALUE"""),1.31510760000037)</f>
        <v>1.3151076</v>
      </c>
    </row>
    <row r="638">
      <c r="A638" s="6" t="str">
        <f t="shared" si="4"/>
        <v>P4</v>
      </c>
      <c r="B638" s="2">
        <v>54.0</v>
      </c>
      <c r="C638" s="2" t="s">
        <v>284</v>
      </c>
      <c r="D638" s="2" t="s">
        <v>17</v>
      </c>
      <c r="E638" s="2">
        <v>5.0</v>
      </c>
      <c r="F638" s="6">
        <f>IFERROR(__xludf.DUMMYFUNCTION("""COMPUTED_VALUE"""),1.17436600000019)</f>
        <v>1.174366</v>
      </c>
    </row>
    <row r="639">
      <c r="A639" s="6" t="str">
        <f t="shared" si="4"/>
        <v>P4</v>
      </c>
      <c r="B639" s="2">
        <v>55.0</v>
      </c>
      <c r="C639" s="2" t="s">
        <v>289</v>
      </c>
      <c r="D639" s="2" t="s">
        <v>17</v>
      </c>
      <c r="E639" s="2">
        <v>5.0</v>
      </c>
      <c r="F639" s="6">
        <f>IFERROR(__xludf.DUMMYFUNCTION("""COMPUTED_VALUE"""),2.13524389999975)</f>
        <v>2.1352439</v>
      </c>
    </row>
    <row r="640">
      <c r="A640" s="6" t="str">
        <f t="shared" si="4"/>
        <v>P4</v>
      </c>
      <c r="B640" s="2">
        <v>56.0</v>
      </c>
      <c r="C640" s="2" t="s">
        <v>294</v>
      </c>
      <c r="D640" s="2" t="s">
        <v>17</v>
      </c>
      <c r="E640" s="2">
        <v>5.0</v>
      </c>
      <c r="F640" s="6">
        <f>IFERROR(__xludf.DUMMYFUNCTION("""COMPUTED_VALUE"""),1.1864201000003)</f>
        <v>1.1864201</v>
      </c>
    </row>
    <row r="641">
      <c r="A641" s="6" t="str">
        <f t="shared" si="4"/>
        <v>P4</v>
      </c>
      <c r="B641" s="2">
        <v>57.0</v>
      </c>
      <c r="C641" s="2" t="s">
        <v>299</v>
      </c>
      <c r="D641" s="2" t="s">
        <v>17</v>
      </c>
      <c r="E641" s="2">
        <v>5.0</v>
      </c>
      <c r="F641" s="6">
        <f>IFERROR(__xludf.DUMMYFUNCTION("""COMPUTED_VALUE"""),1.28396750000001)</f>
        <v>1.2839675</v>
      </c>
    </row>
    <row r="642">
      <c r="A642" s="6" t="str">
        <f t="shared" si="4"/>
        <v>P4</v>
      </c>
      <c r="B642" s="2">
        <v>58.0</v>
      </c>
      <c r="C642" s="2" t="s">
        <v>304</v>
      </c>
      <c r="D642" s="2" t="s">
        <v>17</v>
      </c>
      <c r="E642" s="2">
        <v>5.0</v>
      </c>
      <c r="F642" s="6">
        <f>IFERROR(__xludf.DUMMYFUNCTION("""COMPUTED_VALUE"""),1.18274439999959)</f>
        <v>1.1827444</v>
      </c>
    </row>
    <row r="643">
      <c r="A643" s="6" t="str">
        <f t="shared" si="4"/>
        <v>P4</v>
      </c>
      <c r="B643" s="2">
        <v>59.0</v>
      </c>
      <c r="C643" s="2" t="s">
        <v>309</v>
      </c>
      <c r="D643" s="2" t="s">
        <v>17</v>
      </c>
      <c r="E643" s="2">
        <v>10.0</v>
      </c>
      <c r="F643" s="6">
        <f>IFERROR(__xludf.DUMMYFUNCTION("""COMPUTED_VALUE"""),1.92751370000041)</f>
        <v>1.9275137</v>
      </c>
    </row>
    <row r="644">
      <c r="A644" s="6" t="str">
        <f t="shared" si="4"/>
        <v>P4</v>
      </c>
      <c r="B644" s="2">
        <v>60.0</v>
      </c>
      <c r="C644" s="2" t="s">
        <v>314</v>
      </c>
      <c r="D644" s="2" t="s">
        <v>17</v>
      </c>
      <c r="E644" s="2">
        <v>10.0</v>
      </c>
      <c r="F644" s="6">
        <f>IFERROR(__xludf.DUMMYFUNCTION("""COMPUTED_VALUE"""),1.49372059999996)</f>
        <v>1.4937206</v>
      </c>
    </row>
    <row r="645">
      <c r="A645" s="6" t="str">
        <f t="shared" si="4"/>
        <v>P4</v>
      </c>
      <c r="B645" s="2">
        <v>61.0</v>
      </c>
      <c r="C645" s="2" t="s">
        <v>319</v>
      </c>
      <c r="D645" s="2" t="s">
        <v>17</v>
      </c>
      <c r="E645" s="2">
        <v>10.0</v>
      </c>
      <c r="F645" s="6">
        <f>IFERROR(__xludf.DUMMYFUNCTION("""COMPUTED_VALUE"""),2.16042759999982)</f>
        <v>2.1604276</v>
      </c>
    </row>
    <row r="646">
      <c r="A646" s="6" t="str">
        <f t="shared" si="4"/>
        <v>P4</v>
      </c>
      <c r="B646" s="2">
        <v>62.0</v>
      </c>
      <c r="C646" s="2" t="s">
        <v>324</v>
      </c>
      <c r="D646" s="2" t="s">
        <v>17</v>
      </c>
      <c r="E646" s="2">
        <v>10.0</v>
      </c>
      <c r="F646" s="6">
        <f>IFERROR(__xludf.DUMMYFUNCTION("""COMPUTED_VALUE"""),1.52601970000023)</f>
        <v>1.5260197</v>
      </c>
    </row>
    <row r="647">
      <c r="A647" s="6" t="str">
        <f t="shared" si="4"/>
        <v>P4</v>
      </c>
      <c r="B647" s="2">
        <v>63.0</v>
      </c>
      <c r="C647" s="2" t="s">
        <v>329</v>
      </c>
      <c r="D647" s="2" t="s">
        <v>17</v>
      </c>
      <c r="E647" s="2">
        <v>10.0</v>
      </c>
      <c r="F647" s="6">
        <f>IFERROR(__xludf.DUMMYFUNCTION("""COMPUTED_VALUE"""),1.32931670000016)</f>
        <v>1.3293167</v>
      </c>
    </row>
    <row r="648">
      <c r="A648" s="6" t="str">
        <f t="shared" si="4"/>
        <v>P4</v>
      </c>
      <c r="B648" s="2">
        <v>64.0</v>
      </c>
      <c r="C648" s="2" t="s">
        <v>334</v>
      </c>
      <c r="D648" s="2" t="s">
        <v>17</v>
      </c>
      <c r="E648" s="2">
        <v>5.0</v>
      </c>
      <c r="F648" s="6">
        <f>IFERROR(__xludf.DUMMYFUNCTION("""COMPUTED_VALUE"""),1.0163093000001)</f>
        <v>1.0163093</v>
      </c>
    </row>
    <row r="649">
      <c r="A649" s="6" t="str">
        <f t="shared" si="4"/>
        <v>P4</v>
      </c>
      <c r="B649" s="2">
        <v>65.0</v>
      </c>
      <c r="C649" s="2" t="s">
        <v>339</v>
      </c>
      <c r="D649" s="2" t="s">
        <v>17</v>
      </c>
      <c r="E649" s="2">
        <v>10.0</v>
      </c>
      <c r="F649" s="6">
        <f>IFERROR(__xludf.DUMMYFUNCTION("""COMPUTED_VALUE"""),1.36157619999994)</f>
        <v>1.3615762</v>
      </c>
    </row>
    <row r="650">
      <c r="A650" s="6" t="str">
        <f t="shared" si="4"/>
        <v>P4</v>
      </c>
      <c r="B650" s="2">
        <v>66.0</v>
      </c>
      <c r="C650" s="2" t="s">
        <v>344</v>
      </c>
      <c r="D650" s="2" t="s">
        <v>17</v>
      </c>
      <c r="E650" s="2">
        <v>10.0</v>
      </c>
      <c r="F650" s="6">
        <f>IFERROR(__xludf.DUMMYFUNCTION("""COMPUTED_VALUE"""),1.54379920000019)</f>
        <v>1.5437992</v>
      </c>
    </row>
    <row r="651">
      <c r="A651" s="6" t="str">
        <f t="shared" si="4"/>
        <v>P4</v>
      </c>
      <c r="B651" s="2">
        <v>67.0</v>
      </c>
      <c r="C651" s="2" t="s">
        <v>349</v>
      </c>
      <c r="D651" s="2" t="s">
        <v>17</v>
      </c>
      <c r="E651" s="2">
        <v>5.0</v>
      </c>
      <c r="F651" s="6">
        <f>IFERROR(__xludf.DUMMYFUNCTION("""COMPUTED_VALUE"""),1.35288910000008)</f>
        <v>1.3528891</v>
      </c>
    </row>
    <row r="652">
      <c r="A652" s="6" t="str">
        <f t="shared" si="4"/>
        <v>P4</v>
      </c>
      <c r="B652" s="2">
        <v>68.0</v>
      </c>
      <c r="C652" s="2" t="s">
        <v>354</v>
      </c>
      <c r="D652" s="2" t="s">
        <v>17</v>
      </c>
      <c r="E652" s="2">
        <v>5.0</v>
      </c>
      <c r="F652" s="6">
        <f>IFERROR(__xludf.DUMMYFUNCTION("""COMPUTED_VALUE"""),1.71968719999995)</f>
        <v>1.7196872</v>
      </c>
    </row>
    <row r="653">
      <c r="A653" s="6" t="str">
        <f t="shared" si="4"/>
        <v>P4</v>
      </c>
      <c r="B653" s="2">
        <v>69.0</v>
      </c>
      <c r="C653" s="2" t="s">
        <v>359</v>
      </c>
      <c r="D653" s="2" t="s">
        <v>17</v>
      </c>
      <c r="E653" s="2">
        <v>10.0</v>
      </c>
      <c r="F653" s="6">
        <f>IFERROR(__xludf.DUMMYFUNCTION("""COMPUTED_VALUE"""),1.59501790000012)</f>
        <v>1.5950179</v>
      </c>
    </row>
    <row r="654">
      <c r="A654" s="6" t="str">
        <f t="shared" si="4"/>
        <v>P4</v>
      </c>
      <c r="B654" s="2">
        <v>70.0</v>
      </c>
      <c r="C654" s="2" t="s">
        <v>364</v>
      </c>
      <c r="D654" s="2" t="s">
        <v>17</v>
      </c>
      <c r="E654" s="2">
        <v>5.0</v>
      </c>
      <c r="F654" s="6">
        <f>IFERROR(__xludf.DUMMYFUNCTION("""COMPUTED_VALUE"""),1.30073020000008)</f>
        <v>1.3007302</v>
      </c>
    </row>
    <row r="655">
      <c r="A655" s="6" t="str">
        <f t="shared" si="4"/>
        <v>P4</v>
      </c>
      <c r="B655" s="2">
        <v>71.0</v>
      </c>
      <c r="C655" s="2" t="s">
        <v>369</v>
      </c>
      <c r="D655" s="2" t="s">
        <v>17</v>
      </c>
      <c r="E655" s="2">
        <v>10.0</v>
      </c>
      <c r="F655" s="6">
        <f>IFERROR(__xludf.DUMMYFUNCTION("""COMPUTED_VALUE"""),2.12891049999962)</f>
        <v>2.1289105</v>
      </c>
    </row>
    <row r="656">
      <c r="A656" s="6" t="str">
        <f t="shared" si="4"/>
        <v>P4</v>
      </c>
      <c r="B656" s="2">
        <v>72.0</v>
      </c>
      <c r="C656" s="2" t="s">
        <v>374</v>
      </c>
      <c r="D656" s="2" t="s">
        <v>17</v>
      </c>
      <c r="E656" s="2">
        <v>10.0</v>
      </c>
      <c r="F656" s="6">
        <f>IFERROR(__xludf.DUMMYFUNCTION("""COMPUTED_VALUE"""),2.05681929999991)</f>
        <v>2.0568193</v>
      </c>
    </row>
    <row r="657">
      <c r="A657" s="6" t="str">
        <f t="shared" si="4"/>
        <v>P4</v>
      </c>
      <c r="B657" s="2">
        <v>73.0</v>
      </c>
      <c r="C657" s="2" t="s">
        <v>378</v>
      </c>
      <c r="D657" s="2" t="s">
        <v>17</v>
      </c>
      <c r="E657" s="2">
        <v>10.0</v>
      </c>
      <c r="F657" s="6">
        <f>IFERROR(__xludf.DUMMYFUNCTION("""COMPUTED_VALUE"""),0.993544700000256)</f>
        <v>0.9935447</v>
      </c>
    </row>
    <row r="658">
      <c r="A658" s="6" t="str">
        <f t="shared" si="4"/>
        <v>P4</v>
      </c>
      <c r="B658" s="2">
        <v>74.0</v>
      </c>
      <c r="C658" s="2" t="s">
        <v>383</v>
      </c>
      <c r="D658" s="2" t="s">
        <v>17</v>
      </c>
      <c r="E658" s="2">
        <v>5.0</v>
      </c>
      <c r="F658" s="6">
        <f>IFERROR(__xludf.DUMMYFUNCTION("""COMPUTED_VALUE"""),1.28156070000022)</f>
        <v>1.2815607</v>
      </c>
    </row>
    <row r="659">
      <c r="A659" s="6" t="str">
        <f t="shared" si="4"/>
        <v>P4</v>
      </c>
      <c r="B659" s="2">
        <v>75.0</v>
      </c>
      <c r="C659" s="2" t="s">
        <v>388</v>
      </c>
      <c r="D659" s="2" t="s">
        <v>17</v>
      </c>
      <c r="E659" s="2">
        <v>5.0</v>
      </c>
      <c r="F659" s="6">
        <f>IFERROR(__xludf.DUMMYFUNCTION("""COMPUTED_VALUE"""),2.00126109999973)</f>
        <v>2.0012611</v>
      </c>
    </row>
    <row r="660">
      <c r="A660" s="6" t="str">
        <f t="shared" si="4"/>
        <v>P4</v>
      </c>
      <c r="B660" s="2">
        <v>76.0</v>
      </c>
      <c r="C660" s="2" t="s">
        <v>393</v>
      </c>
      <c r="D660" s="2" t="s">
        <v>17</v>
      </c>
      <c r="E660" s="2">
        <v>5.0</v>
      </c>
      <c r="F660" s="6">
        <f>IFERROR(__xludf.DUMMYFUNCTION("""COMPUTED_VALUE"""),5.03595870000026)</f>
        <v>5.0359587</v>
      </c>
    </row>
    <row r="661">
      <c r="A661" s="6" t="str">
        <f t="shared" si="4"/>
        <v>P4</v>
      </c>
      <c r="B661" s="2">
        <v>77.0</v>
      </c>
      <c r="C661" s="2" t="s">
        <v>398</v>
      </c>
      <c r="D661" s="2" t="s">
        <v>17</v>
      </c>
      <c r="E661" s="2">
        <v>5.0</v>
      </c>
      <c r="F661" s="6">
        <f>IFERROR(__xludf.DUMMYFUNCTION("""COMPUTED_VALUE"""),2.32008070000028)</f>
        <v>2.3200807</v>
      </c>
    </row>
    <row r="662">
      <c r="A662" s="6" t="str">
        <f t="shared" si="4"/>
        <v>P4</v>
      </c>
      <c r="B662" s="2">
        <v>78.0</v>
      </c>
      <c r="C662" s="2" t="s">
        <v>403</v>
      </c>
      <c r="D662" s="2" t="s">
        <v>17</v>
      </c>
      <c r="E662" s="2">
        <v>5.0</v>
      </c>
      <c r="F662" s="6">
        <f>IFERROR(__xludf.DUMMYFUNCTION("""COMPUTED_VALUE"""),2.51927729999988)</f>
        <v>2.5192773</v>
      </c>
    </row>
    <row r="663">
      <c r="A663" s="6" t="str">
        <f t="shared" si="4"/>
        <v>P4</v>
      </c>
      <c r="B663" s="2">
        <v>79.0</v>
      </c>
      <c r="C663" s="2" t="s">
        <v>408</v>
      </c>
      <c r="D663" s="2" t="s">
        <v>17</v>
      </c>
      <c r="E663" s="2">
        <v>5.0</v>
      </c>
      <c r="F663" s="6">
        <f>IFERROR(__xludf.DUMMYFUNCTION("""COMPUTED_VALUE"""),1.4847721000001)</f>
        <v>1.4847721</v>
      </c>
    </row>
    <row r="664">
      <c r="A664" s="6" t="str">
        <f t="shared" si="4"/>
        <v>P4</v>
      </c>
      <c r="B664" s="2">
        <v>80.0</v>
      </c>
      <c r="C664" s="2" t="s">
        <v>413</v>
      </c>
      <c r="D664" s="2" t="s">
        <v>17</v>
      </c>
      <c r="E664" s="2">
        <v>10.0</v>
      </c>
      <c r="F664" s="6">
        <f>IFERROR(__xludf.DUMMYFUNCTION("""COMPUTED_VALUE"""),1.39326669999991)</f>
        <v>1.3932667</v>
      </c>
    </row>
    <row r="665">
      <c r="A665" s="6" t="str">
        <f t="shared" si="4"/>
        <v>P4</v>
      </c>
      <c r="B665" s="2">
        <v>81.0</v>
      </c>
      <c r="C665" s="2" t="s">
        <v>418</v>
      </c>
      <c r="D665" s="2" t="s">
        <v>17</v>
      </c>
      <c r="E665" s="2">
        <v>5.0</v>
      </c>
      <c r="F665" s="6">
        <f>IFERROR(__xludf.DUMMYFUNCTION("""COMPUTED_VALUE"""),1.33386159999963)</f>
        <v>1.3338616</v>
      </c>
    </row>
    <row r="666">
      <c r="A666" s="6" t="str">
        <f t="shared" si="4"/>
        <v>P4</v>
      </c>
      <c r="B666" s="2">
        <v>82.0</v>
      </c>
      <c r="C666" s="2" t="s">
        <v>422</v>
      </c>
      <c r="D666" s="2" t="s">
        <v>17</v>
      </c>
      <c r="E666" s="2">
        <v>10.0</v>
      </c>
      <c r="F666" s="6">
        <f>IFERROR(__xludf.DUMMYFUNCTION("""COMPUTED_VALUE"""),1.37690530000008)</f>
        <v>1.3769053</v>
      </c>
    </row>
    <row r="667">
      <c r="A667" s="6" t="str">
        <f t="shared" si="4"/>
        <v>P4</v>
      </c>
      <c r="B667" s="2">
        <v>83.0</v>
      </c>
      <c r="C667" s="2" t="s">
        <v>427</v>
      </c>
      <c r="D667" s="2" t="s">
        <v>17</v>
      </c>
      <c r="E667" s="2">
        <v>10.0</v>
      </c>
      <c r="F667" s="6">
        <f>IFERROR(__xludf.DUMMYFUNCTION("""COMPUTED_VALUE"""),1.73176650000004)</f>
        <v>1.7317665</v>
      </c>
    </row>
    <row r="668">
      <c r="A668" s="6" t="str">
        <f t="shared" si="4"/>
        <v>P4</v>
      </c>
      <c r="B668" s="2">
        <v>84.0</v>
      </c>
      <c r="C668" s="2" t="s">
        <v>432</v>
      </c>
      <c r="D668" s="2" t="s">
        <v>17</v>
      </c>
      <c r="E668" s="2">
        <v>10.0</v>
      </c>
      <c r="F668" s="6">
        <f>IFERROR(__xludf.DUMMYFUNCTION("""COMPUTED_VALUE"""),1.22625150000021)</f>
        <v>1.2262515</v>
      </c>
    </row>
    <row r="669">
      <c r="A669" s="6" t="str">
        <f t="shared" si="4"/>
        <v>P4</v>
      </c>
      <c r="B669" s="2">
        <v>85.0</v>
      </c>
      <c r="C669" s="2" t="s">
        <v>437</v>
      </c>
      <c r="D669" s="2" t="s">
        <v>17</v>
      </c>
      <c r="E669" s="2">
        <v>5.0</v>
      </c>
      <c r="F669" s="6">
        <f>IFERROR(__xludf.DUMMYFUNCTION("""COMPUTED_VALUE"""),1.51758399999971)</f>
        <v>1.517584</v>
      </c>
    </row>
    <row r="670">
      <c r="A670" s="6" t="str">
        <f t="shared" si="4"/>
        <v>P4</v>
      </c>
      <c r="B670" s="2">
        <v>86.0</v>
      </c>
      <c r="C670" s="2" t="s">
        <v>442</v>
      </c>
      <c r="D670" s="2" t="s">
        <v>17</v>
      </c>
      <c r="E670" s="2">
        <v>10.0</v>
      </c>
      <c r="F670" s="6">
        <f>IFERROR(__xludf.DUMMYFUNCTION("""COMPUTED_VALUE"""),1.21902679999993)</f>
        <v>1.2190268</v>
      </c>
    </row>
    <row r="671">
      <c r="A671" s="6" t="str">
        <f t="shared" si="4"/>
        <v>P4</v>
      </c>
      <c r="B671" s="2">
        <v>87.0</v>
      </c>
      <c r="C671" s="2" t="s">
        <v>447</v>
      </c>
      <c r="D671" s="2" t="s">
        <v>17</v>
      </c>
      <c r="E671" s="2">
        <v>5.0</v>
      </c>
      <c r="F671" s="6">
        <f>IFERROR(__xludf.DUMMYFUNCTION("""COMPUTED_VALUE"""),1.46787700000004)</f>
        <v>1.467877</v>
      </c>
    </row>
    <row r="672">
      <c r="A672" s="6" t="str">
        <f t="shared" si="4"/>
        <v>P4</v>
      </c>
      <c r="B672" s="2">
        <v>88.0</v>
      </c>
      <c r="C672" s="2" t="s">
        <v>452</v>
      </c>
      <c r="D672" s="2" t="s">
        <v>17</v>
      </c>
      <c r="E672" s="2">
        <v>10.0</v>
      </c>
      <c r="F672" s="6">
        <f>IFERROR(__xludf.DUMMYFUNCTION("""COMPUTED_VALUE"""),2.14630870000019)</f>
        <v>2.1463087</v>
      </c>
    </row>
    <row r="673">
      <c r="A673" s="6" t="str">
        <f t="shared" si="4"/>
        <v>P4</v>
      </c>
      <c r="B673" s="2">
        <v>89.0</v>
      </c>
      <c r="C673" s="2" t="s">
        <v>457</v>
      </c>
      <c r="D673" s="2" t="s">
        <v>17</v>
      </c>
      <c r="E673" s="2">
        <v>10.0</v>
      </c>
      <c r="F673" s="6">
        <f>IFERROR(__xludf.DUMMYFUNCTION("""COMPUTED_VALUE"""),1.58101009999973)</f>
        <v>1.5810101</v>
      </c>
    </row>
    <row r="674">
      <c r="A674" s="6" t="str">
        <f t="shared" si="4"/>
        <v>P4</v>
      </c>
      <c r="B674" s="2">
        <v>90.0</v>
      </c>
      <c r="C674" s="2" t="s">
        <v>462</v>
      </c>
      <c r="D674" s="2" t="s">
        <v>17</v>
      </c>
      <c r="E674" s="2">
        <v>5.0</v>
      </c>
      <c r="F674" s="6">
        <f>IFERROR(__xludf.DUMMYFUNCTION("""COMPUTED_VALUE"""),1.47150999999985)</f>
        <v>1.47151</v>
      </c>
    </row>
    <row r="675">
      <c r="A675" s="6" t="str">
        <f t="shared" si="4"/>
        <v>P4</v>
      </c>
      <c r="B675" s="2">
        <v>91.0</v>
      </c>
      <c r="C675" s="2" t="s">
        <v>467</v>
      </c>
      <c r="D675" s="2" t="s">
        <v>17</v>
      </c>
      <c r="E675" s="2">
        <v>10.0</v>
      </c>
      <c r="F675" s="6">
        <f>IFERROR(__xludf.DUMMYFUNCTION("""COMPUTED_VALUE"""),2.1443019000003)</f>
        <v>2.1443019</v>
      </c>
    </row>
    <row r="676">
      <c r="A676" s="6" t="str">
        <f t="shared" si="4"/>
        <v>P4</v>
      </c>
      <c r="B676" s="2">
        <v>92.0</v>
      </c>
      <c r="C676" s="2" t="s">
        <v>472</v>
      </c>
      <c r="D676" s="2" t="s">
        <v>17</v>
      </c>
      <c r="E676" s="2">
        <v>5.0</v>
      </c>
      <c r="F676" s="6">
        <f>IFERROR(__xludf.DUMMYFUNCTION("""COMPUTED_VALUE"""),1.08653359999971)</f>
        <v>1.0865336</v>
      </c>
    </row>
    <row r="677">
      <c r="A677" s="6" t="str">
        <f t="shared" si="4"/>
        <v>P4</v>
      </c>
      <c r="B677" s="2">
        <v>93.0</v>
      </c>
      <c r="C677" s="2" t="s">
        <v>477</v>
      </c>
      <c r="D677" s="2" t="s">
        <v>17</v>
      </c>
      <c r="E677" s="2">
        <v>5.0</v>
      </c>
      <c r="F677" s="6">
        <f>IFERROR(__xludf.DUMMYFUNCTION("""COMPUTED_VALUE"""),1.33360179999999)</f>
        <v>1.3336018</v>
      </c>
    </row>
    <row r="678">
      <c r="A678" s="6" t="str">
        <f t="shared" si="4"/>
        <v>P4</v>
      </c>
      <c r="B678" s="2">
        <v>94.0</v>
      </c>
      <c r="C678" s="2" t="s">
        <v>482</v>
      </c>
      <c r="D678" s="2" t="s">
        <v>17</v>
      </c>
      <c r="E678" s="2">
        <v>5.0</v>
      </c>
      <c r="F678" s="6">
        <f>IFERROR(__xludf.DUMMYFUNCTION("""COMPUTED_VALUE"""),1.43692749999991)</f>
        <v>1.4369275</v>
      </c>
    </row>
    <row r="679">
      <c r="A679" s="6" t="str">
        <f t="shared" si="4"/>
        <v>P4</v>
      </c>
      <c r="B679" s="2">
        <v>95.0</v>
      </c>
      <c r="C679" s="2" t="s">
        <v>487</v>
      </c>
      <c r="D679" s="2" t="s">
        <v>17</v>
      </c>
      <c r="E679" s="2">
        <v>5.0</v>
      </c>
      <c r="F679" s="6">
        <f>IFERROR(__xludf.DUMMYFUNCTION("""COMPUTED_VALUE"""),1.50375379999968)</f>
        <v>1.5037538</v>
      </c>
    </row>
    <row r="680">
      <c r="A680" s="6" t="str">
        <f t="shared" si="4"/>
        <v>P4</v>
      </c>
      <c r="B680" s="2">
        <v>96.0</v>
      </c>
      <c r="C680" s="2" t="s">
        <v>492</v>
      </c>
      <c r="D680" s="2" t="s">
        <v>17</v>
      </c>
      <c r="E680" s="2">
        <v>10.0</v>
      </c>
      <c r="F680" s="6">
        <f>IFERROR(__xludf.DUMMYFUNCTION("""COMPUTED_VALUE"""),1.92742879999968)</f>
        <v>1.9274288</v>
      </c>
    </row>
    <row r="681">
      <c r="A681" s="6" t="str">
        <f t="shared" si="4"/>
        <v>P4</v>
      </c>
      <c r="B681" s="2">
        <v>97.0</v>
      </c>
      <c r="C681" s="2" t="s">
        <v>497</v>
      </c>
      <c r="D681" s="2" t="s">
        <v>17</v>
      </c>
      <c r="E681" s="2">
        <v>10.0</v>
      </c>
      <c r="F681" s="6">
        <f>IFERROR(__xludf.DUMMYFUNCTION("""COMPUTED_VALUE"""),1.72650740000017)</f>
        <v>1.7265074</v>
      </c>
    </row>
    <row r="682">
      <c r="A682" s="6" t="str">
        <f t="shared" si="4"/>
        <v>P4</v>
      </c>
      <c r="B682" s="2">
        <v>98.0</v>
      </c>
      <c r="C682" s="2" t="s">
        <v>502</v>
      </c>
      <c r="D682" s="2" t="s">
        <v>17</v>
      </c>
      <c r="E682" s="2">
        <v>10.0</v>
      </c>
      <c r="F682" s="6">
        <f>IFERROR(__xludf.DUMMYFUNCTION("""COMPUTED_VALUE"""),1.44986079999989)</f>
        <v>1.4498608</v>
      </c>
    </row>
    <row r="683">
      <c r="A683" s="6" t="str">
        <f t="shared" si="4"/>
        <v>P4</v>
      </c>
      <c r="B683" s="2">
        <v>99.0</v>
      </c>
      <c r="C683" s="2" t="s">
        <v>506</v>
      </c>
      <c r="D683" s="2" t="s">
        <v>17</v>
      </c>
      <c r="E683" s="2">
        <v>10.0</v>
      </c>
      <c r="F683" s="6">
        <f>IFERROR(__xludf.DUMMYFUNCTION("""COMPUTED_VALUE"""),1.46226690000003)</f>
        <v>1.4622669</v>
      </c>
    </row>
    <row r="684">
      <c r="A684" s="6" t="str">
        <f t="shared" si="4"/>
        <v>P4</v>
      </c>
      <c r="B684" s="2">
        <v>100.0</v>
      </c>
      <c r="C684" s="2" t="s">
        <v>510</v>
      </c>
      <c r="D684" s="2" t="s">
        <v>17</v>
      </c>
      <c r="E684" s="2">
        <v>5.0</v>
      </c>
      <c r="F684" s="6">
        <f>IFERROR(__xludf.DUMMYFUNCTION("""COMPUTED_VALUE"""),1.18376379999972)</f>
        <v>1.1837638</v>
      </c>
    </row>
    <row r="685">
      <c r="A685" s="6" t="str">
        <f t="shared" si="4"/>
        <v>P4</v>
      </c>
      <c r="B685" s="2">
        <v>101.0</v>
      </c>
      <c r="C685" s="2" t="s">
        <v>515</v>
      </c>
      <c r="D685" s="2" t="s">
        <v>17</v>
      </c>
      <c r="E685" s="2">
        <v>5.0</v>
      </c>
      <c r="F685" s="6">
        <f>IFERROR(__xludf.DUMMYFUNCTION("""COMPUTED_VALUE"""),1.20363210000004)</f>
        <v>1.2036321</v>
      </c>
    </row>
    <row r="686">
      <c r="A686" s="6" t="str">
        <f t="shared" si="4"/>
        <v>P4</v>
      </c>
      <c r="B686" s="2">
        <v>102.0</v>
      </c>
      <c r="C686" s="2" t="s">
        <v>520</v>
      </c>
      <c r="D686" s="2" t="s">
        <v>17</v>
      </c>
      <c r="E686" s="2">
        <v>10.0</v>
      </c>
      <c r="F686" s="6">
        <f>IFERROR(__xludf.DUMMYFUNCTION("""COMPUTED_VALUE"""),1.26085570000032)</f>
        <v>1.2608557</v>
      </c>
    </row>
    <row r="687">
      <c r="A687" s="6" t="str">
        <f t="shared" si="4"/>
        <v>P4</v>
      </c>
      <c r="B687" s="2">
        <v>103.0</v>
      </c>
      <c r="C687" s="2" t="s">
        <v>525</v>
      </c>
      <c r="D687" s="2" t="s">
        <v>17</v>
      </c>
      <c r="E687" s="2">
        <v>10.0</v>
      </c>
      <c r="F687" s="6">
        <f>IFERROR(__xludf.DUMMYFUNCTION("""COMPUTED_VALUE"""),2.91182730000036)</f>
        <v>2.9118273</v>
      </c>
    </row>
    <row r="688">
      <c r="A688" s="6" t="str">
        <f t="shared" si="4"/>
        <v>P4</v>
      </c>
      <c r="B688" s="2">
        <v>104.0</v>
      </c>
      <c r="C688" s="2" t="s">
        <v>530</v>
      </c>
      <c r="D688" s="2" t="s">
        <v>17</v>
      </c>
      <c r="E688" s="2">
        <v>5.0</v>
      </c>
      <c r="F688" s="6">
        <f>IFERROR(__xludf.DUMMYFUNCTION("""COMPUTED_VALUE"""),1.66563089999999)</f>
        <v>1.6656309</v>
      </c>
    </row>
    <row r="689">
      <c r="A689" s="6" t="str">
        <f t="shared" si="4"/>
        <v>P4</v>
      </c>
      <c r="B689" s="2">
        <v>105.0</v>
      </c>
      <c r="C689" s="2" t="s">
        <v>535</v>
      </c>
      <c r="D689" s="2" t="s">
        <v>17</v>
      </c>
      <c r="E689" s="2">
        <v>5.0</v>
      </c>
      <c r="F689" s="6">
        <f>IFERROR(__xludf.DUMMYFUNCTION("""COMPUTED_VALUE"""),1.25141849999999)</f>
        <v>1.2514185</v>
      </c>
    </row>
    <row r="690">
      <c r="A690" s="6" t="str">
        <f t="shared" si="4"/>
        <v>P4</v>
      </c>
      <c r="B690" s="2">
        <v>106.0</v>
      </c>
      <c r="C690" s="2" t="s">
        <v>540</v>
      </c>
      <c r="D690" s="2" t="s">
        <v>17</v>
      </c>
      <c r="E690" s="2">
        <v>5.0</v>
      </c>
      <c r="F690" s="6">
        <f>IFERROR(__xludf.DUMMYFUNCTION("""COMPUTED_VALUE"""),1.6866573000002)</f>
        <v>1.6866573</v>
      </c>
    </row>
    <row r="691">
      <c r="A691" s="6" t="str">
        <f t="shared" si="4"/>
        <v>P4</v>
      </c>
      <c r="B691" s="2">
        <v>107.0</v>
      </c>
      <c r="C691" s="2" t="s">
        <v>545</v>
      </c>
      <c r="D691" s="2" t="s">
        <v>17</v>
      </c>
      <c r="E691" s="2">
        <v>5.0</v>
      </c>
      <c r="F691" s="6">
        <f>IFERROR(__xludf.DUMMYFUNCTION("""COMPUTED_VALUE"""),1.2668580999998)</f>
        <v>1.2668581</v>
      </c>
    </row>
    <row r="692">
      <c r="A692" s="6" t="str">
        <f t="shared" si="4"/>
        <v>P4</v>
      </c>
      <c r="B692" s="2">
        <v>108.0</v>
      </c>
      <c r="C692" s="2" t="s">
        <v>550</v>
      </c>
      <c r="D692" s="2" t="s">
        <v>17</v>
      </c>
      <c r="E692" s="2">
        <v>5.0</v>
      </c>
      <c r="F692" s="6">
        <f>IFERROR(__xludf.DUMMYFUNCTION("""COMPUTED_VALUE"""),1.38588079999999)</f>
        <v>1.3858808</v>
      </c>
    </row>
    <row r="693">
      <c r="A693" s="6" t="str">
        <f t="shared" si="4"/>
        <v>P4</v>
      </c>
      <c r="B693" s="2">
        <v>109.0</v>
      </c>
      <c r="C693" s="2" t="s">
        <v>555</v>
      </c>
      <c r="D693" s="2" t="s">
        <v>17</v>
      </c>
      <c r="E693" s="2">
        <v>10.0</v>
      </c>
      <c r="F693" s="6">
        <f>IFERROR(__xludf.DUMMYFUNCTION("""COMPUTED_VALUE"""),1.56186699999989)</f>
        <v>1.561867</v>
      </c>
    </row>
    <row r="694">
      <c r="A694" s="6" t="str">
        <f t="shared" si="4"/>
        <v>P4</v>
      </c>
      <c r="B694" s="2">
        <v>110.0</v>
      </c>
      <c r="C694" s="2" t="s">
        <v>560</v>
      </c>
      <c r="D694" s="2" t="s">
        <v>17</v>
      </c>
      <c r="E694" s="2">
        <v>5.0</v>
      </c>
      <c r="F694" s="6">
        <f>IFERROR(__xludf.DUMMYFUNCTION("""COMPUTED_VALUE"""),1.63814820000015)</f>
        <v>1.6381482</v>
      </c>
    </row>
    <row r="695">
      <c r="A695" s="6" t="str">
        <f t="shared" si="4"/>
        <v>P4</v>
      </c>
      <c r="B695" s="2">
        <v>111.0</v>
      </c>
      <c r="C695" s="2" t="s">
        <v>565</v>
      </c>
      <c r="D695" s="2" t="s">
        <v>17</v>
      </c>
      <c r="E695" s="2">
        <v>10.0</v>
      </c>
      <c r="F695" s="6">
        <f>IFERROR(__xludf.DUMMYFUNCTION("""COMPUTED_VALUE"""),1.30859770000006)</f>
        <v>1.3085977</v>
      </c>
    </row>
    <row r="696">
      <c r="A696" s="6" t="str">
        <f t="shared" si="4"/>
        <v>P4</v>
      </c>
      <c r="B696" s="2">
        <v>112.0</v>
      </c>
      <c r="C696" s="2" t="s">
        <v>570</v>
      </c>
      <c r="D696" s="2" t="s">
        <v>17</v>
      </c>
      <c r="E696" s="2">
        <v>10.0</v>
      </c>
      <c r="F696" s="6">
        <f>IFERROR(__xludf.DUMMYFUNCTION("""COMPUTED_VALUE"""),1.6299199)</f>
        <v>1.6299199</v>
      </c>
    </row>
    <row r="697">
      <c r="A697" s="6" t="str">
        <f t="shared" si="4"/>
        <v>P4</v>
      </c>
      <c r="B697" s="2">
        <v>113.0</v>
      </c>
      <c r="C697" s="2" t="s">
        <v>575</v>
      </c>
      <c r="D697" s="2" t="s">
        <v>17</v>
      </c>
      <c r="E697" s="2">
        <v>10.0</v>
      </c>
      <c r="F697" s="6">
        <f>IFERROR(__xludf.DUMMYFUNCTION("""COMPUTED_VALUE"""),2.44464500000003)</f>
        <v>2.444645</v>
      </c>
    </row>
    <row r="698">
      <c r="A698" s="6" t="str">
        <f t="shared" si="4"/>
        <v>P4</v>
      </c>
      <c r="B698" s="2">
        <v>114.0</v>
      </c>
      <c r="C698" s="2" t="s">
        <v>580</v>
      </c>
      <c r="D698" s="2" t="s">
        <v>17</v>
      </c>
      <c r="E698" s="2">
        <v>5.0</v>
      </c>
      <c r="F698" s="6">
        <f>IFERROR(__xludf.DUMMYFUNCTION("""COMPUTED_VALUE"""),1.43488500000012)</f>
        <v>1.434885</v>
      </c>
    </row>
    <row r="699">
      <c r="A699" s="6" t="str">
        <f t="shared" si="4"/>
        <v>P4</v>
      </c>
      <c r="B699" s="2">
        <v>115.0</v>
      </c>
      <c r="C699" s="2" t="s">
        <v>584</v>
      </c>
      <c r="D699" s="2" t="s">
        <v>17</v>
      </c>
      <c r="E699" s="2">
        <v>10.0</v>
      </c>
      <c r="F699" s="6">
        <f>IFERROR(__xludf.DUMMYFUNCTION("""COMPUTED_VALUE"""),1.69245)</f>
        <v>1.69245</v>
      </c>
    </row>
    <row r="700">
      <c r="A700" s="6" t="str">
        <f t="shared" si="4"/>
        <v>P4</v>
      </c>
      <c r="B700" s="2">
        <v>116.0</v>
      </c>
      <c r="C700" s="2" t="s">
        <v>589</v>
      </c>
      <c r="D700" s="2" t="s">
        <v>17</v>
      </c>
      <c r="E700" s="2">
        <v>5.0</v>
      </c>
      <c r="F700" s="6">
        <f>IFERROR(__xludf.DUMMYFUNCTION("""COMPUTED_VALUE"""),1.40738709999959)</f>
        <v>1.4073871</v>
      </c>
    </row>
    <row r="701">
      <c r="A701" s="6" t="str">
        <f t="shared" si="4"/>
        <v>P4</v>
      </c>
      <c r="B701" s="2">
        <v>117.0</v>
      </c>
      <c r="C701" s="2" t="s">
        <v>594</v>
      </c>
      <c r="D701" s="2" t="s">
        <v>17</v>
      </c>
      <c r="E701" s="2">
        <v>5.0</v>
      </c>
      <c r="F701" s="6">
        <f>IFERROR(__xludf.DUMMYFUNCTION("""COMPUTED_VALUE"""),1.15291309999975)</f>
        <v>1.1529131</v>
      </c>
    </row>
    <row r="702">
      <c r="A702" s="6" t="str">
        <f t="shared" si="4"/>
        <v>P4</v>
      </c>
      <c r="B702" s="2">
        <v>118.0</v>
      </c>
      <c r="C702" s="2" t="s">
        <v>599</v>
      </c>
      <c r="D702" s="2" t="s">
        <v>17</v>
      </c>
      <c r="E702" s="2">
        <v>10.0</v>
      </c>
      <c r="F702" s="6">
        <f>IFERROR(__xludf.DUMMYFUNCTION("""COMPUTED_VALUE"""),2.04373219999979)</f>
        <v>2.0437322</v>
      </c>
    </row>
    <row r="703">
      <c r="A703" s="6" t="str">
        <f t="shared" si="4"/>
        <v>P4</v>
      </c>
      <c r="B703" s="2">
        <v>119.0</v>
      </c>
      <c r="C703" s="2" t="s">
        <v>604</v>
      </c>
      <c r="D703" s="2" t="s">
        <v>17</v>
      </c>
      <c r="E703" s="2">
        <v>5.0</v>
      </c>
      <c r="F703" s="6">
        <f>IFERROR(__xludf.DUMMYFUNCTION("""COMPUTED_VALUE"""),1.96837359999972)</f>
        <v>1.9683736</v>
      </c>
    </row>
    <row r="704">
      <c r="A704" s="6" t="str">
        <f t="shared" si="4"/>
        <v>P4</v>
      </c>
      <c r="B704" s="2">
        <v>120.0</v>
      </c>
      <c r="C704" s="2" t="s">
        <v>609</v>
      </c>
      <c r="D704" s="2" t="s">
        <v>17</v>
      </c>
      <c r="E704" s="2">
        <v>10.0</v>
      </c>
      <c r="F704" s="6">
        <f>IFERROR(__xludf.DUMMYFUNCTION("""COMPUTED_VALUE"""),1.19546649999983)</f>
        <v>1.1954665</v>
      </c>
    </row>
    <row r="705">
      <c r="A705" s="6" t="str">
        <f t="shared" si="4"/>
        <v>P4</v>
      </c>
      <c r="B705" s="2">
        <v>121.0</v>
      </c>
      <c r="C705" s="2" t="s">
        <v>614</v>
      </c>
      <c r="D705" s="2" t="s">
        <v>17</v>
      </c>
      <c r="E705" s="2">
        <v>10.0</v>
      </c>
      <c r="F705" s="6">
        <f>IFERROR(__xludf.DUMMYFUNCTION("""COMPUTED_VALUE"""),1.84483189999991)</f>
        <v>1.8448319</v>
      </c>
    </row>
    <row r="706">
      <c r="A706" s="6" t="str">
        <f t="shared" si="4"/>
        <v>P4</v>
      </c>
      <c r="B706" s="2">
        <v>122.0</v>
      </c>
      <c r="C706" s="2" t="s">
        <v>619</v>
      </c>
      <c r="D706" s="2" t="s">
        <v>17</v>
      </c>
      <c r="E706" s="2">
        <v>5.0</v>
      </c>
      <c r="F706" s="6">
        <f>IFERROR(__xludf.DUMMYFUNCTION("""COMPUTED_VALUE"""),1.56807160000016)</f>
        <v>1.5680716</v>
      </c>
    </row>
    <row r="707">
      <c r="A707" s="6" t="str">
        <f t="shared" si="4"/>
        <v>P4</v>
      </c>
      <c r="B707" s="2">
        <v>123.0</v>
      </c>
      <c r="C707" s="2" t="s">
        <v>624</v>
      </c>
      <c r="D707" s="2" t="s">
        <v>17</v>
      </c>
      <c r="E707" s="2">
        <v>5.0</v>
      </c>
      <c r="F707" s="6">
        <f>IFERROR(__xludf.DUMMYFUNCTION("""COMPUTED_VALUE"""),1.23685430000023)</f>
        <v>1.2368543</v>
      </c>
    </row>
    <row r="708">
      <c r="A708" s="6" t="str">
        <f t="shared" si="4"/>
        <v>P4</v>
      </c>
      <c r="B708" s="2">
        <v>124.0</v>
      </c>
      <c r="C708" s="2" t="s">
        <v>629</v>
      </c>
      <c r="D708" s="2" t="s">
        <v>17</v>
      </c>
      <c r="E708" s="2">
        <v>10.0</v>
      </c>
      <c r="F708" s="6">
        <f>IFERROR(__xludf.DUMMYFUNCTION("""COMPUTED_VALUE"""),1.7437603999997)</f>
        <v>1.7437604</v>
      </c>
    </row>
    <row r="709">
      <c r="A709" s="6" t="str">
        <f t="shared" si="4"/>
        <v>P4</v>
      </c>
      <c r="B709" s="2">
        <v>125.0</v>
      </c>
      <c r="C709" s="2" t="s">
        <v>634</v>
      </c>
      <c r="D709" s="2" t="s">
        <v>17</v>
      </c>
      <c r="E709" s="2">
        <v>10.0</v>
      </c>
      <c r="F709" s="6">
        <f>IFERROR(__xludf.DUMMYFUNCTION("""COMPUTED_VALUE"""),2.69309739999971)</f>
        <v>2.6930974</v>
      </c>
    </row>
    <row r="710">
      <c r="A710" s="6" t="str">
        <f t="shared" si="4"/>
        <v>P4</v>
      </c>
      <c r="B710" s="2">
        <v>126.0</v>
      </c>
      <c r="C710" s="2" t="s">
        <v>639</v>
      </c>
      <c r="D710" s="2" t="s">
        <v>17</v>
      </c>
      <c r="E710" s="2">
        <v>10.0</v>
      </c>
      <c r="F710" s="6">
        <f>IFERROR(__xludf.DUMMYFUNCTION("""COMPUTED_VALUE"""),1.17792229999986)</f>
        <v>1.1779223</v>
      </c>
    </row>
    <row r="711">
      <c r="A711" s="6" t="str">
        <f t="shared" si="4"/>
        <v>P4</v>
      </c>
      <c r="B711" s="2">
        <v>127.0</v>
      </c>
      <c r="C711" s="2" t="s">
        <v>644</v>
      </c>
      <c r="D711" s="2" t="s">
        <v>17</v>
      </c>
      <c r="E711" s="2">
        <v>5.0</v>
      </c>
      <c r="F711" s="6">
        <f>IFERROR(__xludf.DUMMYFUNCTION("""COMPUTED_VALUE"""),2.23612750000029)</f>
        <v>2.2361275</v>
      </c>
    </row>
    <row r="712">
      <c r="A712" s="6" t="str">
        <f t="shared" si="4"/>
        <v>P4</v>
      </c>
      <c r="B712" s="2">
        <v>128.0</v>
      </c>
      <c r="C712" s="2" t="s">
        <v>649</v>
      </c>
      <c r="D712" s="2" t="s">
        <v>17</v>
      </c>
      <c r="E712" s="2">
        <v>5.0</v>
      </c>
      <c r="F712" s="6">
        <f>IFERROR(__xludf.DUMMYFUNCTION("""COMPUTED_VALUE"""),1.11713460000009)</f>
        <v>1.1171346</v>
      </c>
    </row>
    <row r="713">
      <c r="A713" s="6" t="str">
        <f t="shared" si="4"/>
        <v>P4</v>
      </c>
      <c r="B713" s="2">
        <v>129.0</v>
      </c>
      <c r="C713" s="2" t="s">
        <v>654</v>
      </c>
      <c r="D713" s="2" t="s">
        <v>17</v>
      </c>
      <c r="E713" s="2">
        <v>10.0</v>
      </c>
      <c r="F713" s="6">
        <f>IFERROR(__xludf.DUMMYFUNCTION("""COMPUTED_VALUE"""),2.02964550000024)</f>
        <v>2.0296455</v>
      </c>
    </row>
    <row r="714">
      <c r="A714" s="6" t="str">
        <f t="shared" si="4"/>
        <v>P4</v>
      </c>
      <c r="B714" s="2">
        <v>130.0</v>
      </c>
      <c r="C714" s="2" t="s">
        <v>659</v>
      </c>
      <c r="D714" s="2" t="s">
        <v>17</v>
      </c>
      <c r="E714" s="2">
        <v>10.0</v>
      </c>
      <c r="F714" s="6">
        <f>IFERROR(__xludf.DUMMYFUNCTION("""COMPUTED_VALUE"""),2.14039490000004)</f>
        <v>2.1403949</v>
      </c>
    </row>
    <row r="715">
      <c r="A715" s="6" t="str">
        <f t="shared" si="4"/>
        <v>P4</v>
      </c>
      <c r="B715" s="2">
        <v>131.0</v>
      </c>
      <c r="C715" s="2" t="s">
        <v>664</v>
      </c>
      <c r="D715" s="2" t="s">
        <v>17</v>
      </c>
      <c r="E715" s="2">
        <v>10.0</v>
      </c>
      <c r="F715" s="6">
        <f>IFERROR(__xludf.DUMMYFUNCTION("""COMPUTED_VALUE"""),2.64995339999995)</f>
        <v>2.6499534</v>
      </c>
    </row>
    <row r="716">
      <c r="A716" s="6" t="str">
        <f t="shared" si="4"/>
        <v>P4</v>
      </c>
      <c r="B716" s="2">
        <v>132.0</v>
      </c>
      <c r="C716" s="2" t="s">
        <v>669</v>
      </c>
      <c r="D716" s="2" t="s">
        <v>17</v>
      </c>
      <c r="E716" s="2">
        <v>5.0</v>
      </c>
      <c r="F716" s="6">
        <f>IFERROR(__xludf.DUMMYFUNCTION("""COMPUTED_VALUE"""),1.31405780000022)</f>
        <v>1.3140578</v>
      </c>
    </row>
    <row r="717">
      <c r="A717" s="6" t="str">
        <f t="shared" si="4"/>
        <v>P4</v>
      </c>
      <c r="B717" s="2">
        <v>133.0</v>
      </c>
      <c r="C717" s="2" t="s">
        <v>674</v>
      </c>
      <c r="D717" s="2" t="s">
        <v>17</v>
      </c>
      <c r="E717" s="2">
        <v>10.0</v>
      </c>
      <c r="F717" s="6">
        <f>IFERROR(__xludf.DUMMYFUNCTION("""COMPUTED_VALUE"""),1.92799280000008)</f>
        <v>1.9279928</v>
      </c>
    </row>
    <row r="718">
      <c r="A718" s="6" t="str">
        <f t="shared" si="4"/>
        <v>P4</v>
      </c>
      <c r="B718" s="2">
        <v>134.0</v>
      </c>
      <c r="C718" s="2" t="s">
        <v>679</v>
      </c>
      <c r="D718" s="2" t="s">
        <v>17</v>
      </c>
      <c r="E718" s="2">
        <v>10.0</v>
      </c>
      <c r="F718" s="6">
        <f>IFERROR(__xludf.DUMMYFUNCTION("""COMPUTED_VALUE"""),1.38119589999996)</f>
        <v>1.3811959</v>
      </c>
    </row>
    <row r="719">
      <c r="A719" s="6" t="str">
        <f t="shared" si="4"/>
        <v>P4</v>
      </c>
      <c r="B719" s="2">
        <v>135.0</v>
      </c>
      <c r="C719" s="2" t="s">
        <v>684</v>
      </c>
      <c r="D719" s="2" t="s">
        <v>17</v>
      </c>
      <c r="E719" s="2">
        <v>10.0</v>
      </c>
      <c r="F719" s="6">
        <f>IFERROR(__xludf.DUMMYFUNCTION("""COMPUTED_VALUE"""),1.49027680000017)</f>
        <v>1.4902768</v>
      </c>
    </row>
    <row r="720">
      <c r="A720" s="6" t="str">
        <f t="shared" si="4"/>
        <v>P4</v>
      </c>
      <c r="B720" s="2">
        <v>136.0</v>
      </c>
      <c r="C720" s="2" t="s">
        <v>689</v>
      </c>
      <c r="D720" s="2" t="s">
        <v>17</v>
      </c>
      <c r="E720" s="2">
        <v>10.0</v>
      </c>
      <c r="F720" s="6">
        <f>IFERROR(__xludf.DUMMYFUNCTION("""COMPUTED_VALUE"""),1.31414799999993)</f>
        <v>1.314148</v>
      </c>
    </row>
    <row r="721">
      <c r="A721" s="6" t="str">
        <f t="shared" si="4"/>
        <v>P4</v>
      </c>
      <c r="B721" s="2">
        <v>137.0</v>
      </c>
      <c r="C721" s="2" t="s">
        <v>694</v>
      </c>
      <c r="D721" s="2" t="s">
        <v>17</v>
      </c>
      <c r="E721" s="2">
        <v>5.0</v>
      </c>
      <c r="F721" s="6">
        <f>IFERROR(__xludf.DUMMYFUNCTION("""COMPUTED_VALUE"""),1.7030523000003)</f>
        <v>1.7030523</v>
      </c>
    </row>
    <row r="722">
      <c r="A722" s="6" t="str">
        <f t="shared" si="4"/>
        <v>P4</v>
      </c>
      <c r="B722" s="2">
        <v>138.0</v>
      </c>
      <c r="C722" s="2" t="s">
        <v>699</v>
      </c>
      <c r="D722" s="2" t="s">
        <v>17</v>
      </c>
      <c r="E722" s="2">
        <v>5.0</v>
      </c>
      <c r="F722" s="6">
        <f>IFERROR(__xludf.DUMMYFUNCTION("""COMPUTED_VALUE"""),1.22205640000038)</f>
        <v>1.2220564</v>
      </c>
    </row>
    <row r="723">
      <c r="A723" s="6" t="str">
        <f t="shared" si="4"/>
        <v>P4</v>
      </c>
      <c r="B723" s="2">
        <v>139.0</v>
      </c>
      <c r="C723" s="2" t="s">
        <v>704</v>
      </c>
      <c r="D723" s="2" t="s">
        <v>17</v>
      </c>
      <c r="E723" s="2">
        <v>10.0</v>
      </c>
      <c r="F723" s="6">
        <f>IFERROR(__xludf.DUMMYFUNCTION("""COMPUTED_VALUE"""),1.42527910000035)</f>
        <v>1.4252791</v>
      </c>
    </row>
    <row r="724">
      <c r="A724" s="6" t="str">
        <f t="shared" si="4"/>
        <v>P4</v>
      </c>
      <c r="B724" s="2">
        <v>140.0</v>
      </c>
      <c r="C724" s="2" t="s">
        <v>709</v>
      </c>
      <c r="D724" s="2" t="s">
        <v>17</v>
      </c>
      <c r="E724" s="2">
        <v>10.0</v>
      </c>
      <c r="F724" s="6">
        <f>IFERROR(__xludf.DUMMYFUNCTION("""COMPUTED_VALUE"""),2.13206870000021)</f>
        <v>2.1320687</v>
      </c>
    </row>
    <row r="725">
      <c r="A725" s="6" t="str">
        <f t="shared" si="4"/>
        <v>P4</v>
      </c>
      <c r="B725" s="2">
        <v>141.0</v>
      </c>
      <c r="C725" s="2" t="s">
        <v>714</v>
      </c>
      <c r="D725" s="2" t="s">
        <v>17</v>
      </c>
      <c r="E725" s="2">
        <v>5.0</v>
      </c>
      <c r="F725" s="6">
        <f>IFERROR(__xludf.DUMMYFUNCTION("""COMPUTED_VALUE"""),1.25289629999997)</f>
        <v>1.2528963</v>
      </c>
    </row>
    <row r="726">
      <c r="A726" s="6" t="str">
        <f t="shared" si="4"/>
        <v>P4</v>
      </c>
      <c r="B726" s="2">
        <v>142.0</v>
      </c>
      <c r="C726" s="2" t="s">
        <v>719</v>
      </c>
      <c r="D726" s="2" t="s">
        <v>17</v>
      </c>
      <c r="E726" s="2">
        <v>5.0</v>
      </c>
      <c r="F726" s="6">
        <f>IFERROR(__xludf.DUMMYFUNCTION("""COMPUTED_VALUE"""),2.45234600000003)</f>
        <v>2.452346</v>
      </c>
    </row>
    <row r="727">
      <c r="A727" s="6" t="str">
        <f t="shared" si="4"/>
        <v>P4</v>
      </c>
      <c r="B727" s="2">
        <v>143.0</v>
      </c>
      <c r="C727" s="2" t="s">
        <v>723</v>
      </c>
      <c r="D727" s="2" t="s">
        <v>17</v>
      </c>
      <c r="E727" s="2">
        <v>5.0</v>
      </c>
      <c r="F727" s="6">
        <f>IFERROR(__xludf.DUMMYFUNCTION("""COMPUTED_VALUE"""),1.62008280000009)</f>
        <v>1.6200828</v>
      </c>
    </row>
    <row r="728">
      <c r="A728" s="6" t="str">
        <f t="shared" si="4"/>
        <v>P4</v>
      </c>
      <c r="B728" s="2">
        <v>144.0</v>
      </c>
      <c r="C728" s="2" t="s">
        <v>728</v>
      </c>
      <c r="D728" s="2" t="s">
        <v>17</v>
      </c>
      <c r="E728" s="2">
        <v>5.0</v>
      </c>
      <c r="F728" s="6">
        <f>IFERROR(__xludf.DUMMYFUNCTION("""COMPUTED_VALUE"""),1.21379220000017)</f>
        <v>1.2137922</v>
      </c>
    </row>
    <row r="729">
      <c r="A729" s="6" t="str">
        <f t="shared" si="4"/>
        <v>P4</v>
      </c>
      <c r="B729" s="2">
        <v>145.0</v>
      </c>
      <c r="C729" s="2" t="s">
        <v>733</v>
      </c>
      <c r="D729" s="2" t="s">
        <v>17</v>
      </c>
      <c r="E729" s="2">
        <v>10.0</v>
      </c>
      <c r="F729" s="6">
        <f>IFERROR(__xludf.DUMMYFUNCTION("""COMPUTED_VALUE"""),1.36419889999979)</f>
        <v>1.3641989</v>
      </c>
    </row>
    <row r="730">
      <c r="A730" s="6" t="str">
        <f t="shared" si="4"/>
        <v>P4</v>
      </c>
      <c r="B730" s="2">
        <v>146.0</v>
      </c>
      <c r="C730" s="2" t="s">
        <v>738</v>
      </c>
      <c r="D730" s="2" t="s">
        <v>17</v>
      </c>
      <c r="E730" s="2">
        <v>5.0</v>
      </c>
      <c r="F730" s="6">
        <f>IFERROR(__xludf.DUMMYFUNCTION("""COMPUTED_VALUE"""),1.9012604999998)</f>
        <v>1.9012605</v>
      </c>
    </row>
    <row r="731">
      <c r="A731" s="6" t="str">
        <f t="shared" si="4"/>
        <v>P4</v>
      </c>
      <c r="B731" s="2">
        <v>147.0</v>
      </c>
      <c r="C731" s="2" t="s">
        <v>743</v>
      </c>
      <c r="D731" s="2" t="s">
        <v>17</v>
      </c>
      <c r="E731" s="2">
        <v>5.0</v>
      </c>
      <c r="F731" s="6">
        <f>IFERROR(__xludf.DUMMYFUNCTION("""COMPUTED_VALUE"""),1.25287839999964)</f>
        <v>1.2528784</v>
      </c>
    </row>
    <row r="732">
      <c r="A732" s="6" t="str">
        <f t="shared" si="4"/>
        <v>P4</v>
      </c>
      <c r="B732" s="2">
        <v>148.0</v>
      </c>
      <c r="C732" s="2" t="s">
        <v>748</v>
      </c>
      <c r="D732" s="2" t="s">
        <v>17</v>
      </c>
      <c r="E732" s="2">
        <v>5.0</v>
      </c>
      <c r="F732" s="6">
        <f>IFERROR(__xludf.DUMMYFUNCTION("""COMPUTED_VALUE"""),1.71800269999994)</f>
        <v>1.7180027</v>
      </c>
    </row>
    <row r="733">
      <c r="A733" s="6" t="str">
        <f t="shared" si="4"/>
        <v>P4</v>
      </c>
      <c r="B733" s="2">
        <v>149.0</v>
      </c>
      <c r="C733" s="2" t="s">
        <v>753</v>
      </c>
      <c r="D733" s="2" t="s">
        <v>17</v>
      </c>
      <c r="E733" s="2">
        <v>10.0</v>
      </c>
      <c r="F733" s="6">
        <f>IFERROR(__xludf.DUMMYFUNCTION("""COMPUTED_VALUE"""),1.87317699999994)</f>
        <v>1.873177</v>
      </c>
    </row>
    <row r="734">
      <c r="A734" s="6" t="str">
        <f t="shared" si="4"/>
        <v>P4</v>
      </c>
      <c r="B734" s="2">
        <v>150.0</v>
      </c>
      <c r="C734" s="2" t="s">
        <v>757</v>
      </c>
      <c r="D734" s="2" t="s">
        <v>17</v>
      </c>
      <c r="E734" s="2">
        <v>10.0</v>
      </c>
      <c r="F734" s="6">
        <f>IFERROR(__xludf.DUMMYFUNCTION("""COMPUTED_VALUE"""),1.40588720000005)</f>
        <v>1.4058872</v>
      </c>
    </row>
    <row r="735">
      <c r="A735" s="6" t="str">
        <f t="shared" si="4"/>
        <v>P4</v>
      </c>
      <c r="B735" s="2">
        <v>151.0</v>
      </c>
      <c r="C735" s="2" t="s">
        <v>762</v>
      </c>
      <c r="D735" s="2" t="s">
        <v>17</v>
      </c>
      <c r="E735" s="2">
        <v>10.0</v>
      </c>
      <c r="F735" s="6">
        <f>IFERROR(__xludf.DUMMYFUNCTION("""COMPUTED_VALUE"""),1.46157760000005)</f>
        <v>1.4615776</v>
      </c>
    </row>
    <row r="736">
      <c r="A736" s="6" t="str">
        <f t="shared" si="4"/>
        <v>P4</v>
      </c>
      <c r="B736" s="2">
        <v>152.0</v>
      </c>
      <c r="C736" s="2" t="s">
        <v>767</v>
      </c>
      <c r="D736" s="2" t="s">
        <v>17</v>
      </c>
      <c r="E736" s="2">
        <v>5.0</v>
      </c>
      <c r="F736" s="6">
        <f>IFERROR(__xludf.DUMMYFUNCTION("""COMPUTED_VALUE"""),1.36421130000007)</f>
        <v>1.3642113</v>
      </c>
    </row>
    <row r="737">
      <c r="A737" s="6" t="str">
        <f t="shared" si="4"/>
        <v>P4</v>
      </c>
      <c r="B737" s="2">
        <v>153.0</v>
      </c>
      <c r="C737" s="2" t="s">
        <v>772</v>
      </c>
      <c r="D737" s="2" t="s">
        <v>17</v>
      </c>
      <c r="E737" s="2">
        <v>10.0</v>
      </c>
      <c r="F737" s="6">
        <f>IFERROR(__xludf.DUMMYFUNCTION("""COMPUTED_VALUE"""),1.7916468000003)</f>
        <v>1.7916468</v>
      </c>
    </row>
    <row r="738">
      <c r="A738" s="6" t="str">
        <f t="shared" si="4"/>
        <v>P4</v>
      </c>
      <c r="B738" s="2">
        <v>154.0</v>
      </c>
      <c r="C738" s="2" t="s">
        <v>777</v>
      </c>
      <c r="D738" s="2" t="s">
        <v>17</v>
      </c>
      <c r="E738" s="2">
        <v>5.0</v>
      </c>
      <c r="F738" s="6">
        <f>IFERROR(__xludf.DUMMYFUNCTION("""COMPUTED_VALUE"""),1.30285229999981)</f>
        <v>1.3028523</v>
      </c>
    </row>
    <row r="739">
      <c r="A739" s="6" t="str">
        <f t="shared" si="4"/>
        <v>P4</v>
      </c>
      <c r="B739" s="2">
        <v>155.0</v>
      </c>
      <c r="C739" s="2" t="s">
        <v>782</v>
      </c>
      <c r="D739" s="2" t="s">
        <v>17</v>
      </c>
      <c r="E739" s="2">
        <v>5.0</v>
      </c>
      <c r="F739" s="6">
        <f>IFERROR(__xludf.DUMMYFUNCTION("""COMPUTED_VALUE"""),1.54149920000008)</f>
        <v>1.5414992</v>
      </c>
    </row>
    <row r="740">
      <c r="A740" s="6" t="str">
        <f t="shared" si="4"/>
        <v>P4</v>
      </c>
      <c r="B740" s="2">
        <v>156.0</v>
      </c>
      <c r="C740" s="2" t="s">
        <v>787</v>
      </c>
      <c r="D740" s="2" t="s">
        <v>17</v>
      </c>
      <c r="E740" s="2">
        <v>5.0</v>
      </c>
      <c r="F740" s="6">
        <f>IFERROR(__xludf.DUMMYFUNCTION("""COMPUTED_VALUE"""),1.28825490000008)</f>
        <v>1.2882549</v>
      </c>
    </row>
    <row r="741">
      <c r="A741" s="6" t="str">
        <f t="shared" si="4"/>
        <v>P4</v>
      </c>
      <c r="B741" s="2">
        <v>157.0</v>
      </c>
      <c r="C741" s="2" t="s">
        <v>792</v>
      </c>
      <c r="D741" s="2" t="s">
        <v>17</v>
      </c>
      <c r="E741" s="2">
        <v>5.0</v>
      </c>
      <c r="F741" s="6">
        <f>IFERROR(__xludf.DUMMYFUNCTION("""COMPUTED_VALUE"""),1.64733509999996)</f>
        <v>1.6473351</v>
      </c>
    </row>
    <row r="742">
      <c r="A742" s="6" t="str">
        <f t="shared" si="4"/>
        <v>P4</v>
      </c>
      <c r="B742" s="2">
        <v>158.0</v>
      </c>
      <c r="C742" s="2" t="s">
        <v>797</v>
      </c>
      <c r="D742" s="2" t="s">
        <v>17</v>
      </c>
      <c r="E742" s="2">
        <v>5.0</v>
      </c>
      <c r="F742" s="6">
        <f>IFERROR(__xludf.DUMMYFUNCTION("""COMPUTED_VALUE"""),2.08140470000034)</f>
        <v>2.0814047</v>
      </c>
    </row>
    <row r="743">
      <c r="A743" s="6" t="str">
        <f t="shared" si="4"/>
        <v>P4</v>
      </c>
      <c r="B743" s="2">
        <v>159.0</v>
      </c>
      <c r="C743" s="2" t="s">
        <v>802</v>
      </c>
      <c r="D743" s="2" t="s">
        <v>17</v>
      </c>
      <c r="E743" s="2">
        <v>10.0</v>
      </c>
      <c r="F743" s="6">
        <f>IFERROR(__xludf.DUMMYFUNCTION("""COMPUTED_VALUE"""),1.4885863999998)</f>
        <v>1.4885864</v>
      </c>
    </row>
    <row r="744">
      <c r="A744" s="6" t="str">
        <f t="shared" si="4"/>
        <v>P4</v>
      </c>
      <c r="B744" s="2">
        <v>160.0</v>
      </c>
      <c r="C744" s="2" t="s">
        <v>807</v>
      </c>
      <c r="D744" s="2" t="s">
        <v>17</v>
      </c>
      <c r="E744" s="2">
        <v>10.0</v>
      </c>
      <c r="F744" s="6">
        <f>IFERROR(__xludf.DUMMYFUNCTION("""COMPUTED_VALUE"""),1.61396619999959)</f>
        <v>1.6139662</v>
      </c>
    </row>
    <row r="745">
      <c r="A745" s="6" t="str">
        <f t="shared" si="4"/>
        <v>P4</v>
      </c>
      <c r="B745" s="2">
        <v>161.0</v>
      </c>
      <c r="C745" s="2" t="s">
        <v>811</v>
      </c>
      <c r="D745" s="2" t="s">
        <v>17</v>
      </c>
      <c r="E745" s="2">
        <v>5.0</v>
      </c>
      <c r="F745" s="6">
        <f>IFERROR(__xludf.DUMMYFUNCTION("""COMPUTED_VALUE"""),1.56738859999995)</f>
        <v>1.5673886</v>
      </c>
    </row>
    <row r="746">
      <c r="A746" s="6" t="str">
        <f t="shared" si="4"/>
        <v>P4</v>
      </c>
      <c r="B746" s="2">
        <v>162.0</v>
      </c>
      <c r="C746" s="2" t="s">
        <v>816</v>
      </c>
      <c r="D746" s="2" t="s">
        <v>17</v>
      </c>
      <c r="E746" s="2">
        <v>5.0</v>
      </c>
      <c r="F746" s="6">
        <f>IFERROR(__xludf.DUMMYFUNCTION("""COMPUTED_VALUE"""),1.50493209999967)</f>
        <v>1.5049321</v>
      </c>
    </row>
    <row r="747">
      <c r="A747" s="6" t="str">
        <f t="shared" si="4"/>
        <v>P4</v>
      </c>
      <c r="B747" s="2">
        <v>163.0</v>
      </c>
      <c r="C747" s="2" t="s">
        <v>821</v>
      </c>
      <c r="D747" s="2" t="s">
        <v>17</v>
      </c>
      <c r="E747" s="2">
        <v>10.0</v>
      </c>
      <c r="F747" s="6">
        <f>IFERROR(__xludf.DUMMYFUNCTION("""COMPUTED_VALUE"""),2.03403100000014)</f>
        <v>2.034031</v>
      </c>
    </row>
    <row r="748">
      <c r="A748" s="6" t="str">
        <f t="shared" si="4"/>
        <v>P4</v>
      </c>
      <c r="B748" s="2">
        <v>164.0</v>
      </c>
      <c r="C748" s="2" t="s">
        <v>826</v>
      </c>
      <c r="D748" s="2" t="s">
        <v>17</v>
      </c>
      <c r="E748" s="2">
        <v>5.0</v>
      </c>
      <c r="F748" s="6">
        <f>IFERROR(__xludf.DUMMYFUNCTION("""COMPUTED_VALUE"""),1.21534079999992)</f>
        <v>1.2153408</v>
      </c>
    </row>
    <row r="749">
      <c r="A749" s="6" t="str">
        <f t="shared" si="4"/>
        <v>P4</v>
      </c>
      <c r="B749" s="2">
        <v>165.0</v>
      </c>
      <c r="C749" s="2" t="s">
        <v>831</v>
      </c>
      <c r="D749" s="2" t="s">
        <v>17</v>
      </c>
      <c r="E749" s="2">
        <v>10.0</v>
      </c>
      <c r="F749" s="6">
        <f>IFERROR(__xludf.DUMMYFUNCTION("""COMPUTED_VALUE"""),1.59614969999984)</f>
        <v>1.5961497</v>
      </c>
    </row>
    <row r="750">
      <c r="A750" s="6" t="str">
        <f t="shared" si="4"/>
        <v>P4</v>
      </c>
      <c r="B750" s="2">
        <v>166.0</v>
      </c>
      <c r="C750" s="2" t="s">
        <v>836</v>
      </c>
      <c r="D750" s="2" t="s">
        <v>17</v>
      </c>
      <c r="E750" s="2">
        <v>5.0</v>
      </c>
      <c r="F750" s="6">
        <f>IFERROR(__xludf.DUMMYFUNCTION("""COMPUTED_VALUE"""),1.6517076)</f>
        <v>1.6517076</v>
      </c>
    </row>
    <row r="751">
      <c r="A751" s="6" t="str">
        <f t="shared" si="4"/>
        <v>P4</v>
      </c>
      <c r="B751" s="2">
        <v>167.0</v>
      </c>
      <c r="C751" s="2" t="s">
        <v>840</v>
      </c>
      <c r="D751" s="2" t="s">
        <v>17</v>
      </c>
      <c r="E751" s="2">
        <v>5.0</v>
      </c>
      <c r="F751" s="6">
        <f>IFERROR(__xludf.DUMMYFUNCTION("""COMPUTED_VALUE"""),1.42135559999996)</f>
        <v>1.4213556</v>
      </c>
    </row>
    <row r="752">
      <c r="A752" s="6" t="str">
        <f t="shared" si="4"/>
        <v>P4</v>
      </c>
      <c r="B752" s="2">
        <v>168.0</v>
      </c>
      <c r="C752" s="2" t="s">
        <v>844</v>
      </c>
      <c r="D752" s="2" t="s">
        <v>17</v>
      </c>
      <c r="E752" s="2">
        <v>10.0</v>
      </c>
      <c r="F752" s="6">
        <f>IFERROR(__xludf.DUMMYFUNCTION("""COMPUTED_VALUE"""),2.34192690000008)</f>
        <v>2.3419269</v>
      </c>
    </row>
    <row r="753">
      <c r="A753" s="6" t="str">
        <f t="shared" si="4"/>
        <v>P4</v>
      </c>
      <c r="B753" s="2">
        <v>169.0</v>
      </c>
      <c r="C753" s="2" t="s">
        <v>849</v>
      </c>
      <c r="D753" s="2" t="s">
        <v>17</v>
      </c>
      <c r="E753" s="2">
        <v>10.0</v>
      </c>
      <c r="F753" s="6">
        <f>IFERROR(__xludf.DUMMYFUNCTION("""COMPUTED_VALUE"""),1.40650050000022)</f>
        <v>1.4065005</v>
      </c>
    </row>
    <row r="754">
      <c r="A754" s="6" t="str">
        <f t="shared" si="4"/>
        <v>P4</v>
      </c>
      <c r="B754" s="2">
        <v>170.0</v>
      </c>
      <c r="C754" s="2" t="s">
        <v>854</v>
      </c>
      <c r="D754" s="2" t="s">
        <v>17</v>
      </c>
      <c r="E754" s="2">
        <v>5.0</v>
      </c>
      <c r="F754" s="6">
        <f>IFERROR(__xludf.DUMMYFUNCTION("""COMPUTED_VALUE"""),1.39144350000015)</f>
        <v>1.3914435</v>
      </c>
    </row>
    <row r="755">
      <c r="A755" s="6" t="str">
        <f t="shared" si="4"/>
        <v>P4</v>
      </c>
      <c r="B755" s="2">
        <v>171.0</v>
      </c>
      <c r="C755" s="2" t="s">
        <v>859</v>
      </c>
      <c r="D755" s="2" t="s">
        <v>17</v>
      </c>
      <c r="E755" s="2">
        <v>5.0</v>
      </c>
      <c r="F755" s="6">
        <f>IFERROR(__xludf.DUMMYFUNCTION("""COMPUTED_VALUE"""),3.00515959999984)</f>
        <v>3.0051596</v>
      </c>
    </row>
    <row r="756">
      <c r="A756" s="6" t="str">
        <f t="shared" si="4"/>
        <v>P4</v>
      </c>
      <c r="B756" s="2">
        <v>172.0</v>
      </c>
      <c r="C756" s="2" t="s">
        <v>864</v>
      </c>
      <c r="D756" s="2" t="s">
        <v>17</v>
      </c>
      <c r="E756" s="2">
        <v>5.0</v>
      </c>
      <c r="F756" s="6">
        <f>IFERROR(__xludf.DUMMYFUNCTION("""COMPUTED_VALUE"""),2.03249499999992)</f>
        <v>2.032495</v>
      </c>
    </row>
    <row r="757">
      <c r="A757" s="6" t="str">
        <f t="shared" si="4"/>
        <v>P4</v>
      </c>
      <c r="B757" s="2">
        <v>173.0</v>
      </c>
      <c r="C757" s="2" t="s">
        <v>869</v>
      </c>
      <c r="D757" s="2" t="s">
        <v>17</v>
      </c>
      <c r="E757" s="2">
        <v>5.0</v>
      </c>
      <c r="F757" s="6">
        <f>IFERROR(__xludf.DUMMYFUNCTION("""COMPUTED_VALUE"""),1.84254680000003)</f>
        <v>1.8425468</v>
      </c>
    </row>
    <row r="758">
      <c r="A758" s="6" t="str">
        <f t="shared" si="4"/>
        <v>P4</v>
      </c>
      <c r="B758" s="2">
        <v>174.0</v>
      </c>
      <c r="C758" s="2" t="s">
        <v>874</v>
      </c>
      <c r="D758" s="2" t="s">
        <v>17</v>
      </c>
      <c r="E758" s="2">
        <v>10.0</v>
      </c>
      <c r="F758" s="6">
        <f>IFERROR(__xludf.DUMMYFUNCTION("""COMPUTED_VALUE"""),1.55881249999993)</f>
        <v>1.5588125</v>
      </c>
    </row>
    <row r="759">
      <c r="A759" s="6" t="str">
        <f t="shared" si="4"/>
        <v>P4</v>
      </c>
      <c r="B759" s="2">
        <v>175.0</v>
      </c>
      <c r="C759" s="2" t="s">
        <v>879</v>
      </c>
      <c r="D759" s="2" t="s">
        <v>17</v>
      </c>
      <c r="E759" s="2">
        <v>10.0</v>
      </c>
      <c r="F759" s="6">
        <f>IFERROR(__xludf.DUMMYFUNCTION("""COMPUTED_VALUE"""),1.34435979999989)</f>
        <v>1.3443598</v>
      </c>
    </row>
    <row r="760">
      <c r="A760" s="6" t="str">
        <f t="shared" si="4"/>
        <v>P4</v>
      </c>
      <c r="B760" s="2">
        <v>176.0</v>
      </c>
      <c r="C760" s="2" t="s">
        <v>884</v>
      </c>
      <c r="D760" s="2" t="s">
        <v>17</v>
      </c>
      <c r="E760" s="2">
        <v>5.0</v>
      </c>
      <c r="F760" s="6">
        <f>IFERROR(__xludf.DUMMYFUNCTION("""COMPUTED_VALUE"""),1.35543470000038)</f>
        <v>1.3554347</v>
      </c>
    </row>
    <row r="761">
      <c r="A761" s="6" t="str">
        <f t="shared" si="4"/>
        <v>P4</v>
      </c>
      <c r="B761" s="2">
        <v>177.0</v>
      </c>
      <c r="C761" s="2" t="s">
        <v>889</v>
      </c>
      <c r="D761" s="2" t="s">
        <v>17</v>
      </c>
      <c r="E761" s="2">
        <v>10.0</v>
      </c>
      <c r="F761" s="6">
        <f>IFERROR(__xludf.DUMMYFUNCTION("""COMPUTED_VALUE"""),1.57738620000009)</f>
        <v>1.5773862</v>
      </c>
    </row>
    <row r="762">
      <c r="A762" s="6" t="str">
        <f t="shared" si="4"/>
        <v>P4</v>
      </c>
      <c r="B762" s="2">
        <v>178.0</v>
      </c>
      <c r="C762" s="2" t="s">
        <v>894</v>
      </c>
      <c r="D762" s="2" t="s">
        <v>17</v>
      </c>
      <c r="E762" s="2">
        <v>5.0</v>
      </c>
      <c r="F762" s="6">
        <f>IFERROR(__xludf.DUMMYFUNCTION("""COMPUTED_VALUE"""),1.5050570999997)</f>
        <v>1.5050571</v>
      </c>
    </row>
    <row r="763">
      <c r="A763" s="6" t="str">
        <f t="shared" si="4"/>
        <v>P4</v>
      </c>
      <c r="B763" s="2">
        <v>179.0</v>
      </c>
      <c r="C763" s="2" t="s">
        <v>899</v>
      </c>
      <c r="D763" s="2" t="s">
        <v>17</v>
      </c>
      <c r="E763" s="2">
        <v>10.0</v>
      </c>
      <c r="F763" s="6">
        <f>IFERROR(__xludf.DUMMYFUNCTION("""COMPUTED_VALUE"""),2.19210939999993)</f>
        <v>2.1921094</v>
      </c>
    </row>
    <row r="764">
      <c r="A764" s="6" t="str">
        <f t="shared" si="4"/>
        <v>P4</v>
      </c>
      <c r="B764" s="2">
        <v>180.0</v>
      </c>
      <c r="C764" s="2" t="s">
        <v>904</v>
      </c>
      <c r="D764" s="2" t="s">
        <v>17</v>
      </c>
      <c r="E764" s="2">
        <v>10.0</v>
      </c>
      <c r="F764" s="6">
        <f>IFERROR(__xludf.DUMMYFUNCTION("""COMPUTED_VALUE"""),1.69284809999999)</f>
        <v>1.6928481</v>
      </c>
    </row>
    <row r="765">
      <c r="A765" s="6" t="str">
        <f t="shared" si="4"/>
        <v>P4</v>
      </c>
      <c r="B765" s="2">
        <v>181.0</v>
      </c>
      <c r="C765" s="2" t="s">
        <v>909</v>
      </c>
      <c r="D765" s="2" t="s">
        <v>17</v>
      </c>
      <c r="E765" s="2">
        <v>10.0</v>
      </c>
      <c r="F765" s="6">
        <f>IFERROR(__xludf.DUMMYFUNCTION("""COMPUTED_VALUE"""),1.77384510000001)</f>
        <v>1.7738451</v>
      </c>
    </row>
    <row r="766">
      <c r="A766" s="6" t="str">
        <f t="shared" si="4"/>
        <v>P4</v>
      </c>
      <c r="B766" s="2">
        <v>182.0</v>
      </c>
      <c r="C766" s="2" t="s">
        <v>914</v>
      </c>
      <c r="D766" s="2" t="s">
        <v>17</v>
      </c>
      <c r="E766" s="2">
        <v>5.0</v>
      </c>
      <c r="F766" s="6">
        <f>IFERROR(__xludf.DUMMYFUNCTION("""COMPUTED_VALUE"""),1.54750869999998)</f>
        <v>1.5475087</v>
      </c>
    </row>
    <row r="767">
      <c r="A767" s="6" t="str">
        <f t="shared" si="4"/>
        <v>P4</v>
      </c>
      <c r="B767" s="2">
        <v>183.0</v>
      </c>
      <c r="C767" s="2" t="s">
        <v>919</v>
      </c>
      <c r="D767" s="2" t="s">
        <v>17</v>
      </c>
      <c r="E767" s="2">
        <v>5.0</v>
      </c>
      <c r="F767" s="6">
        <f>IFERROR(__xludf.DUMMYFUNCTION("""COMPUTED_VALUE"""),1.63201059999983)</f>
        <v>1.6320106</v>
      </c>
    </row>
    <row r="768">
      <c r="A768" s="6" t="str">
        <f t="shared" si="4"/>
        <v>P4</v>
      </c>
      <c r="B768" s="2">
        <v>184.0</v>
      </c>
      <c r="C768" s="2" t="s">
        <v>924</v>
      </c>
      <c r="D768" s="2" t="s">
        <v>17</v>
      </c>
      <c r="E768" s="2">
        <v>5.0</v>
      </c>
      <c r="F768" s="6">
        <f>IFERROR(__xludf.DUMMYFUNCTION("""COMPUTED_VALUE"""),1.09668749999991)</f>
        <v>1.0966875</v>
      </c>
    </row>
    <row r="769">
      <c r="A769" s="6" t="str">
        <f t="shared" si="4"/>
        <v>P4</v>
      </c>
      <c r="B769" s="2">
        <v>185.0</v>
      </c>
      <c r="C769" s="2" t="s">
        <v>929</v>
      </c>
      <c r="D769" s="2" t="s">
        <v>17</v>
      </c>
      <c r="E769" s="2">
        <v>10.0</v>
      </c>
      <c r="F769" s="6">
        <f>IFERROR(__xludf.DUMMYFUNCTION("""COMPUTED_VALUE"""),1.54034529999989)</f>
        <v>1.5403453</v>
      </c>
    </row>
    <row r="770">
      <c r="A770" s="6" t="str">
        <f t="shared" si="4"/>
        <v>P4</v>
      </c>
      <c r="B770" s="2">
        <v>186.0</v>
      </c>
      <c r="C770" s="2" t="s">
        <v>933</v>
      </c>
      <c r="D770" s="2" t="s">
        <v>17</v>
      </c>
      <c r="E770" s="2">
        <v>5.0</v>
      </c>
      <c r="F770" s="6">
        <f>IFERROR(__xludf.DUMMYFUNCTION("""COMPUTED_VALUE"""),1.34912939999958)</f>
        <v>1.3491294</v>
      </c>
    </row>
    <row r="771">
      <c r="A771" s="6" t="str">
        <f t="shared" si="4"/>
        <v>P4</v>
      </c>
      <c r="B771" s="2">
        <v>187.0</v>
      </c>
      <c r="C771" s="2" t="s">
        <v>937</v>
      </c>
      <c r="D771" s="2" t="s">
        <v>17</v>
      </c>
      <c r="E771" s="2">
        <v>10.0</v>
      </c>
      <c r="F771" s="6">
        <f>IFERROR(__xludf.DUMMYFUNCTION("""COMPUTED_VALUE"""),1.54907290000028)</f>
        <v>1.5490729</v>
      </c>
    </row>
    <row r="772">
      <c r="A772" s="6" t="str">
        <f t="shared" si="4"/>
        <v>P4</v>
      </c>
      <c r="B772" s="2">
        <v>188.0</v>
      </c>
      <c r="C772" s="2" t="s">
        <v>941</v>
      </c>
      <c r="D772" s="2" t="s">
        <v>17</v>
      </c>
      <c r="E772" s="2">
        <v>5.0</v>
      </c>
      <c r="F772" s="6">
        <f>IFERROR(__xludf.DUMMYFUNCTION("""COMPUTED_VALUE"""),1.48728130000017)</f>
        <v>1.4872813</v>
      </c>
    </row>
    <row r="773">
      <c r="A773" s="6" t="str">
        <f t="shared" si="4"/>
        <v>P4</v>
      </c>
      <c r="B773" s="2">
        <v>189.0</v>
      </c>
      <c r="C773" s="2" t="s">
        <v>946</v>
      </c>
      <c r="D773" s="2" t="s">
        <v>17</v>
      </c>
      <c r="E773" s="2">
        <v>10.0</v>
      </c>
      <c r="F773" s="6">
        <f>IFERROR(__xludf.DUMMYFUNCTION("""COMPUTED_VALUE"""),1.14699849999988)</f>
        <v>1.1469985</v>
      </c>
    </row>
    <row r="774">
      <c r="A774" s="6" t="str">
        <f t="shared" si="4"/>
        <v>P4</v>
      </c>
      <c r="B774" s="2">
        <v>190.0</v>
      </c>
      <c r="C774" s="2" t="s">
        <v>950</v>
      </c>
      <c r="D774" s="2" t="s">
        <v>17</v>
      </c>
      <c r="E774" s="2">
        <v>10.0</v>
      </c>
      <c r="F774" s="6">
        <f>IFERROR(__xludf.DUMMYFUNCTION("""COMPUTED_VALUE"""),1.18396600000005)</f>
        <v>1.183966</v>
      </c>
    </row>
    <row r="775">
      <c r="A775" s="6" t="str">
        <f t="shared" si="4"/>
        <v>P4</v>
      </c>
      <c r="B775" s="2">
        <v>191.0</v>
      </c>
      <c r="C775" s="2" t="s">
        <v>954</v>
      </c>
      <c r="D775" s="2" t="s">
        <v>17</v>
      </c>
      <c r="E775" s="2">
        <v>10.0</v>
      </c>
      <c r="F775" s="6">
        <f>IFERROR(__xludf.DUMMYFUNCTION("""COMPUTED_VALUE"""),1.22654510000029)</f>
        <v>1.2265451</v>
      </c>
    </row>
    <row r="776">
      <c r="A776" s="6" t="str">
        <f t="shared" si="4"/>
        <v>P4</v>
      </c>
      <c r="B776" s="2">
        <v>192.0</v>
      </c>
      <c r="C776" s="2" t="s">
        <v>959</v>
      </c>
      <c r="D776" s="2" t="s">
        <v>17</v>
      </c>
      <c r="E776" s="2">
        <v>10.0</v>
      </c>
      <c r="F776" s="6">
        <f>IFERROR(__xludf.DUMMYFUNCTION("""COMPUTED_VALUE"""),1.27470519999997)</f>
        <v>1.2747052</v>
      </c>
    </row>
    <row r="777">
      <c r="A777" s="6" t="str">
        <f t="shared" si="4"/>
        <v>P4</v>
      </c>
      <c r="B777" s="2">
        <v>193.0</v>
      </c>
      <c r="C777" s="2" t="s">
        <v>964</v>
      </c>
      <c r="D777" s="2" t="s">
        <v>17</v>
      </c>
      <c r="E777" s="2">
        <v>5.0</v>
      </c>
      <c r="F777" s="6">
        <f>IFERROR(__xludf.DUMMYFUNCTION("""COMPUTED_VALUE"""),1.3198511999999)</f>
        <v>1.3198512</v>
      </c>
    </row>
    <row r="778">
      <c r="A778" s="6" t="str">
        <f t="shared" si="4"/>
        <v>P4</v>
      </c>
      <c r="B778" s="2">
        <v>194.0</v>
      </c>
      <c r="C778" s="2" t="s">
        <v>969</v>
      </c>
      <c r="D778" s="2" t="s">
        <v>17</v>
      </c>
      <c r="E778" s="2">
        <v>5.0</v>
      </c>
      <c r="F778" s="6">
        <f>IFERROR(__xludf.DUMMYFUNCTION("""COMPUTED_VALUE"""),1.22370920000003)</f>
        <v>1.2237092</v>
      </c>
    </row>
    <row r="779">
      <c r="A779" s="6" t="str">
        <f t="shared" si="4"/>
        <v>P4</v>
      </c>
      <c r="B779" s="2">
        <v>195.0</v>
      </c>
      <c r="C779" s="2" t="s">
        <v>974</v>
      </c>
      <c r="D779" s="2" t="s">
        <v>17</v>
      </c>
      <c r="E779" s="2">
        <v>10.0</v>
      </c>
      <c r="F779" s="6">
        <f>IFERROR(__xludf.DUMMYFUNCTION("""COMPUTED_VALUE"""),1.92891159999999)</f>
        <v>1.9289116</v>
      </c>
    </row>
    <row r="780">
      <c r="A780" s="6" t="str">
        <f t="shared" si="4"/>
        <v>P4</v>
      </c>
      <c r="B780" s="2">
        <v>196.0</v>
      </c>
      <c r="C780" s="2" t="s">
        <v>979</v>
      </c>
      <c r="D780" s="2" t="s">
        <v>17</v>
      </c>
      <c r="E780" s="2">
        <v>10.0</v>
      </c>
      <c r="F780" s="6">
        <f>IFERROR(__xludf.DUMMYFUNCTION("""COMPUTED_VALUE"""),1.88942810000025)</f>
        <v>1.8894281</v>
      </c>
    </row>
    <row r="781">
      <c r="A781" s="6" t="str">
        <f t="shared" si="4"/>
        <v>P4</v>
      </c>
      <c r="B781" s="2">
        <v>197.0</v>
      </c>
      <c r="C781" s="2" t="s">
        <v>984</v>
      </c>
      <c r="D781" s="2" t="s">
        <v>17</v>
      </c>
      <c r="E781" s="2">
        <v>5.0</v>
      </c>
      <c r="F781" s="6">
        <f>IFERROR(__xludf.DUMMYFUNCTION("""COMPUTED_VALUE"""),1.39790119999997)</f>
        <v>1.3979012</v>
      </c>
    </row>
    <row r="782">
      <c r="A782" s="6" t="str">
        <f t="shared" si="4"/>
        <v>P4</v>
      </c>
      <c r="B782" s="2">
        <v>198.0</v>
      </c>
      <c r="C782" s="2" t="s">
        <v>989</v>
      </c>
      <c r="D782" s="2" t="s">
        <v>17</v>
      </c>
      <c r="E782" s="2">
        <v>10.0</v>
      </c>
      <c r="F782" s="6">
        <f>IFERROR(__xludf.DUMMYFUNCTION("""COMPUTED_VALUE"""),2.03943560000016)</f>
        <v>2.0394356</v>
      </c>
    </row>
    <row r="783">
      <c r="A783" s="6" t="str">
        <f t="shared" si="4"/>
        <v>P4</v>
      </c>
      <c r="B783" s="2">
        <v>199.0</v>
      </c>
      <c r="C783" s="2" t="s">
        <v>994</v>
      </c>
      <c r="D783" s="2" t="s">
        <v>17</v>
      </c>
      <c r="E783" s="2">
        <v>5.0</v>
      </c>
      <c r="F783" s="6">
        <f>IFERROR(__xludf.DUMMYFUNCTION("""COMPUTED_VALUE"""),1.28479310000011)</f>
        <v>1.2847931</v>
      </c>
    </row>
    <row r="784">
      <c r="A784" s="6" t="str">
        <f t="shared" si="4"/>
        <v>P4</v>
      </c>
      <c r="B784" s="2">
        <v>0.0</v>
      </c>
      <c r="C784" s="2" t="s">
        <v>18</v>
      </c>
      <c r="D784" s="2" t="s">
        <v>17</v>
      </c>
      <c r="E784" s="2">
        <v>10.0</v>
      </c>
      <c r="F784" s="6">
        <f>IFERROR(__xludf.DUMMYFUNCTION("""COMPUTED_VALUE"""),1.62865410000085)</f>
        <v>1.6286541</v>
      </c>
    </row>
    <row r="785">
      <c r="A785" s="6" t="str">
        <f t="shared" si="4"/>
        <v>P4</v>
      </c>
      <c r="B785" s="2">
        <v>1.0</v>
      </c>
      <c r="C785" s="2" t="s">
        <v>23</v>
      </c>
      <c r="D785" s="2" t="s">
        <v>17</v>
      </c>
      <c r="E785" s="2">
        <v>10.0</v>
      </c>
      <c r="F785" s="6">
        <f>IFERROR(__xludf.DUMMYFUNCTION("""COMPUTED_VALUE"""),1.28767870000046)</f>
        <v>1.2876787</v>
      </c>
    </row>
    <row r="786">
      <c r="A786" s="6" t="str">
        <f t="shared" si="4"/>
        <v>P4</v>
      </c>
      <c r="B786" s="2">
        <v>2.0</v>
      </c>
      <c r="C786" s="2" t="s">
        <v>28</v>
      </c>
      <c r="D786" s="2" t="s">
        <v>17</v>
      </c>
      <c r="E786" s="2">
        <v>5.0</v>
      </c>
      <c r="F786" s="6">
        <f>IFERROR(__xludf.DUMMYFUNCTION("""COMPUTED_VALUE"""),1.39701039999999)</f>
        <v>1.3970104</v>
      </c>
    </row>
    <row r="787">
      <c r="A787" s="6" t="str">
        <f t="shared" si="4"/>
        <v>P4</v>
      </c>
      <c r="B787" s="2">
        <v>3.0</v>
      </c>
      <c r="C787" s="2" t="s">
        <v>33</v>
      </c>
      <c r="D787" s="2" t="s">
        <v>17</v>
      </c>
      <c r="E787" s="2">
        <v>5.0</v>
      </c>
      <c r="F787" s="6">
        <f>IFERROR(__xludf.DUMMYFUNCTION("""COMPUTED_VALUE"""),1.42170679999981)</f>
        <v>1.4217068</v>
      </c>
    </row>
    <row r="788">
      <c r="A788" s="6" t="str">
        <f t="shared" si="4"/>
        <v>P4</v>
      </c>
      <c r="B788" s="2">
        <v>4.0</v>
      </c>
      <c r="C788" s="2" t="s">
        <v>38</v>
      </c>
      <c r="D788" s="2" t="s">
        <v>17</v>
      </c>
      <c r="E788" s="2">
        <v>10.0</v>
      </c>
      <c r="F788" s="6">
        <f>IFERROR(__xludf.DUMMYFUNCTION("""COMPUTED_VALUE"""),1.51146420000077)</f>
        <v>1.5114642</v>
      </c>
    </row>
    <row r="789">
      <c r="A789" s="6" t="str">
        <f t="shared" si="4"/>
        <v>P4</v>
      </c>
      <c r="B789" s="2">
        <v>5.0</v>
      </c>
      <c r="C789" s="2" t="s">
        <v>43</v>
      </c>
      <c r="D789" s="2" t="s">
        <v>17</v>
      </c>
      <c r="E789" s="2">
        <v>5.0</v>
      </c>
      <c r="F789" s="6">
        <f>IFERROR(__xludf.DUMMYFUNCTION("""COMPUTED_VALUE"""),1.85268410000026)</f>
        <v>1.8526841</v>
      </c>
    </row>
    <row r="790">
      <c r="A790" s="2" t="s">
        <v>1003</v>
      </c>
      <c r="B790" s="2">
        <v>6.0</v>
      </c>
      <c r="C790" s="2" t="s">
        <v>48</v>
      </c>
      <c r="D790" s="2" t="s">
        <v>17</v>
      </c>
      <c r="E790" s="2">
        <v>5.0</v>
      </c>
      <c r="F790" s="6">
        <f>IFERROR(__xludf.DUMMYFUNCTION("""COMPUTED_VALUE"""),1.77692430000024)</f>
        <v>1.7769243</v>
      </c>
    </row>
    <row r="791">
      <c r="A791" s="6" t="str">
        <f t="shared" ref="A791:A983" si="5"> "P5"</f>
        <v>P5</v>
      </c>
      <c r="B791" s="2">
        <v>7.0</v>
      </c>
      <c r="C791" s="2" t="s">
        <v>53</v>
      </c>
      <c r="D791" s="2" t="s">
        <v>17</v>
      </c>
      <c r="E791" s="2">
        <v>10.0</v>
      </c>
      <c r="F791" s="6">
        <f>IFERROR(__xludf.DUMMYFUNCTION("""COMPUTED_VALUE"""),1.72139819999938)</f>
        <v>1.7213982</v>
      </c>
    </row>
    <row r="792">
      <c r="A792" s="6" t="str">
        <f t="shared" si="5"/>
        <v>P5</v>
      </c>
      <c r="B792" s="2">
        <v>8.0</v>
      </c>
      <c r="C792" s="2" t="s">
        <v>58</v>
      </c>
      <c r="D792" s="2" t="s">
        <v>17</v>
      </c>
      <c r="E792" s="2">
        <v>5.0</v>
      </c>
      <c r="F792" s="6">
        <f>IFERROR(__xludf.DUMMYFUNCTION("""COMPUTED_VALUE"""),2.57203110000045)</f>
        <v>2.5720311</v>
      </c>
    </row>
    <row r="793">
      <c r="A793" s="6" t="str">
        <f t="shared" si="5"/>
        <v>P5</v>
      </c>
      <c r="B793" s="2">
        <v>9.0</v>
      </c>
      <c r="C793" s="2" t="s">
        <v>63</v>
      </c>
      <c r="D793" s="2" t="s">
        <v>17</v>
      </c>
      <c r="E793" s="2">
        <v>5.0</v>
      </c>
      <c r="F793" s="6">
        <f>IFERROR(__xludf.DUMMYFUNCTION("""COMPUTED_VALUE"""),1.68847800000003)</f>
        <v>1.688478</v>
      </c>
    </row>
    <row r="794">
      <c r="A794" s="6" t="str">
        <f t="shared" si="5"/>
        <v>P5</v>
      </c>
      <c r="B794" s="2">
        <v>10.0</v>
      </c>
      <c r="C794" s="2" t="s">
        <v>68</v>
      </c>
      <c r="D794" s="2" t="s">
        <v>17</v>
      </c>
      <c r="E794" s="2">
        <v>10.0</v>
      </c>
      <c r="F794" s="6">
        <f>IFERROR(__xludf.DUMMYFUNCTION("""COMPUTED_VALUE"""),1.6646383999996)</f>
        <v>1.6646384</v>
      </c>
    </row>
    <row r="795">
      <c r="A795" s="6" t="str">
        <f t="shared" si="5"/>
        <v>P5</v>
      </c>
      <c r="B795" s="2">
        <v>11.0</v>
      </c>
      <c r="C795" s="2" t="s">
        <v>73</v>
      </c>
      <c r="D795" s="2" t="s">
        <v>17</v>
      </c>
      <c r="E795" s="2">
        <v>5.0</v>
      </c>
      <c r="F795" s="6">
        <f>IFERROR(__xludf.DUMMYFUNCTION("""COMPUTED_VALUE"""),1.28297519999978)</f>
        <v>1.2829752</v>
      </c>
    </row>
    <row r="796">
      <c r="A796" s="6" t="str">
        <f t="shared" si="5"/>
        <v>P5</v>
      </c>
      <c r="B796" s="2">
        <v>12.0</v>
      </c>
      <c r="C796" s="2" t="s">
        <v>77</v>
      </c>
      <c r="D796" s="2" t="s">
        <v>17</v>
      </c>
      <c r="E796" s="2">
        <v>10.0</v>
      </c>
      <c r="F796" s="6">
        <f>IFERROR(__xludf.DUMMYFUNCTION("""COMPUTED_VALUE"""),1.60544310000113)</f>
        <v>1.6054431</v>
      </c>
    </row>
    <row r="797">
      <c r="A797" s="6" t="str">
        <f t="shared" si="5"/>
        <v>P5</v>
      </c>
      <c r="B797" s="2">
        <v>13.0</v>
      </c>
      <c r="C797" s="2" t="s">
        <v>82</v>
      </c>
      <c r="D797" s="2" t="s">
        <v>17</v>
      </c>
      <c r="E797" s="2">
        <v>10.0</v>
      </c>
      <c r="F797" s="6">
        <f>IFERROR(__xludf.DUMMYFUNCTION("""COMPUTED_VALUE"""),2.17102520000116)</f>
        <v>2.1710252</v>
      </c>
    </row>
    <row r="798">
      <c r="A798" s="6" t="str">
        <f t="shared" si="5"/>
        <v>P5</v>
      </c>
      <c r="B798" s="2">
        <v>14.0</v>
      </c>
      <c r="C798" s="2" t="s">
        <v>87</v>
      </c>
      <c r="D798" s="2" t="s">
        <v>17</v>
      </c>
      <c r="E798" s="2">
        <v>5.0</v>
      </c>
      <c r="F798" s="6">
        <f>IFERROR(__xludf.DUMMYFUNCTION("""COMPUTED_VALUE"""),1.74352130000079)</f>
        <v>1.7435213</v>
      </c>
    </row>
    <row r="799">
      <c r="A799" s="6" t="str">
        <f t="shared" si="5"/>
        <v>P5</v>
      </c>
      <c r="B799" s="2">
        <v>15.0</v>
      </c>
      <c r="C799" s="2" t="s">
        <v>92</v>
      </c>
      <c r="D799" s="2" t="s">
        <v>17</v>
      </c>
      <c r="E799" s="2">
        <v>10.0</v>
      </c>
      <c r="F799" s="6">
        <f>IFERROR(__xludf.DUMMYFUNCTION("""COMPUTED_VALUE"""),1.57718720000048)</f>
        <v>1.5771872</v>
      </c>
    </row>
    <row r="800">
      <c r="A800" s="6" t="str">
        <f t="shared" si="5"/>
        <v>P5</v>
      </c>
      <c r="B800" s="2">
        <v>16.0</v>
      </c>
      <c r="C800" s="2" t="s">
        <v>97</v>
      </c>
      <c r="D800" s="2" t="s">
        <v>17</v>
      </c>
      <c r="E800" s="2">
        <v>5.0</v>
      </c>
      <c r="F800" s="6">
        <f>IFERROR(__xludf.DUMMYFUNCTION("""COMPUTED_VALUE"""),1.37676449999889)</f>
        <v>1.3767645</v>
      </c>
    </row>
    <row r="801">
      <c r="A801" s="6" t="str">
        <f t="shared" si="5"/>
        <v>P5</v>
      </c>
      <c r="B801" s="2">
        <v>17.0</v>
      </c>
      <c r="C801" s="2" t="s">
        <v>101</v>
      </c>
      <c r="D801" s="2" t="s">
        <v>17</v>
      </c>
      <c r="E801" s="2">
        <v>5.0</v>
      </c>
      <c r="F801" s="6">
        <f>IFERROR(__xludf.DUMMYFUNCTION("""COMPUTED_VALUE"""),1.55238860000099)</f>
        <v>1.5523886</v>
      </c>
    </row>
    <row r="802">
      <c r="A802" s="6" t="str">
        <f t="shared" si="5"/>
        <v>P5</v>
      </c>
      <c r="B802" s="2">
        <v>18.0</v>
      </c>
      <c r="C802" s="2" t="s">
        <v>106</v>
      </c>
      <c r="D802" s="2" t="s">
        <v>17</v>
      </c>
      <c r="E802" s="2">
        <v>10.0</v>
      </c>
      <c r="F802" s="6">
        <f>IFERROR(__xludf.DUMMYFUNCTION("""COMPUTED_VALUE"""),1.29654970000046)</f>
        <v>1.2965497</v>
      </c>
    </row>
    <row r="803">
      <c r="A803" s="6" t="str">
        <f t="shared" si="5"/>
        <v>P5</v>
      </c>
      <c r="B803" s="2">
        <v>19.0</v>
      </c>
      <c r="C803" s="2" t="s">
        <v>111</v>
      </c>
      <c r="D803" s="2" t="s">
        <v>17</v>
      </c>
      <c r="E803" s="2">
        <v>10.0</v>
      </c>
      <c r="F803" s="6">
        <f>IFERROR(__xludf.DUMMYFUNCTION("""COMPUTED_VALUE"""),1.54669529999955)</f>
        <v>1.5466953</v>
      </c>
    </row>
    <row r="804">
      <c r="A804" s="6" t="str">
        <f t="shared" si="5"/>
        <v>P5</v>
      </c>
      <c r="B804" s="2">
        <v>20.0</v>
      </c>
      <c r="C804" s="2" t="s">
        <v>116</v>
      </c>
      <c r="D804" s="2" t="s">
        <v>17</v>
      </c>
      <c r="E804" s="2">
        <v>10.0</v>
      </c>
      <c r="F804" s="6">
        <f>IFERROR(__xludf.DUMMYFUNCTION("""COMPUTED_VALUE"""),2.90398110000023)</f>
        <v>2.9039811</v>
      </c>
    </row>
    <row r="805">
      <c r="A805" s="6" t="str">
        <f t="shared" si="5"/>
        <v>P5</v>
      </c>
      <c r="B805" s="2">
        <v>21.0</v>
      </c>
      <c r="C805" s="2" t="s">
        <v>121</v>
      </c>
      <c r="D805" s="2" t="s">
        <v>17</v>
      </c>
      <c r="E805" s="2">
        <v>10.0</v>
      </c>
      <c r="F805" s="6">
        <f>IFERROR(__xludf.DUMMYFUNCTION("""COMPUTED_VALUE"""),3.27942120000079)</f>
        <v>3.2794212</v>
      </c>
    </row>
    <row r="806">
      <c r="A806" s="6" t="str">
        <f t="shared" si="5"/>
        <v>P5</v>
      </c>
      <c r="B806" s="2">
        <v>22.0</v>
      </c>
      <c r="C806" s="2" t="s">
        <v>126</v>
      </c>
      <c r="D806" s="2" t="s">
        <v>17</v>
      </c>
      <c r="E806" s="2">
        <v>10.0</v>
      </c>
      <c r="F806" s="6">
        <f>IFERROR(__xludf.DUMMYFUNCTION("""COMPUTED_VALUE"""),1.42657150000013)</f>
        <v>1.4265715</v>
      </c>
    </row>
    <row r="807">
      <c r="A807" s="6" t="str">
        <f t="shared" si="5"/>
        <v>P5</v>
      </c>
      <c r="B807" s="2">
        <v>23.0</v>
      </c>
      <c r="C807" s="2" t="s">
        <v>130</v>
      </c>
      <c r="D807" s="2" t="s">
        <v>17</v>
      </c>
      <c r="E807" s="2">
        <v>5.0</v>
      </c>
      <c r="F807" s="6">
        <f>IFERROR(__xludf.DUMMYFUNCTION("""COMPUTED_VALUE"""),1.55355810000037)</f>
        <v>1.5535581</v>
      </c>
    </row>
    <row r="808">
      <c r="A808" s="6" t="str">
        <f t="shared" si="5"/>
        <v>P5</v>
      </c>
      <c r="B808" s="2">
        <v>24.0</v>
      </c>
      <c r="C808" s="2" t="s">
        <v>135</v>
      </c>
      <c r="D808" s="2" t="s">
        <v>17</v>
      </c>
      <c r="E808" s="2">
        <v>10.0</v>
      </c>
      <c r="F808" s="6">
        <f>IFERROR(__xludf.DUMMYFUNCTION("""COMPUTED_VALUE"""),1.31232339999951)</f>
        <v>1.3123234</v>
      </c>
    </row>
    <row r="809">
      <c r="A809" s="6" t="str">
        <f t="shared" si="5"/>
        <v>P5</v>
      </c>
      <c r="B809" s="2">
        <v>25.0</v>
      </c>
      <c r="C809" s="2" t="s">
        <v>140</v>
      </c>
      <c r="D809" s="2" t="s">
        <v>17</v>
      </c>
      <c r="E809" s="2">
        <v>10.0</v>
      </c>
      <c r="F809" s="6">
        <f>IFERROR(__xludf.DUMMYFUNCTION("""COMPUTED_VALUE"""),1.22917740000048)</f>
        <v>1.2291774</v>
      </c>
    </row>
    <row r="810">
      <c r="A810" s="6" t="str">
        <f t="shared" si="5"/>
        <v>P5</v>
      </c>
      <c r="B810" s="2">
        <v>26.0</v>
      </c>
      <c r="C810" s="2" t="s">
        <v>145</v>
      </c>
      <c r="D810" s="2" t="s">
        <v>17</v>
      </c>
      <c r="E810" s="2">
        <v>5.0</v>
      </c>
      <c r="F810" s="6">
        <f>IFERROR(__xludf.DUMMYFUNCTION("""COMPUTED_VALUE"""),1.55337020000115)</f>
        <v>1.5533702</v>
      </c>
    </row>
    <row r="811">
      <c r="A811" s="6" t="str">
        <f t="shared" si="5"/>
        <v>P5</v>
      </c>
      <c r="B811" s="2">
        <v>27.0</v>
      </c>
      <c r="C811" s="2" t="s">
        <v>150</v>
      </c>
      <c r="D811" s="2" t="s">
        <v>17</v>
      </c>
      <c r="E811" s="2">
        <v>5.0</v>
      </c>
      <c r="F811" s="6">
        <f>IFERROR(__xludf.DUMMYFUNCTION("""COMPUTED_VALUE"""),2.04625080000005)</f>
        <v>2.0462508</v>
      </c>
    </row>
    <row r="812">
      <c r="A812" s="6" t="str">
        <f t="shared" si="5"/>
        <v>P5</v>
      </c>
      <c r="B812" s="2">
        <v>28.0</v>
      </c>
      <c r="C812" s="2" t="s">
        <v>155</v>
      </c>
      <c r="D812" s="2" t="s">
        <v>17</v>
      </c>
      <c r="E812" s="2">
        <v>5.0</v>
      </c>
      <c r="F812" s="6">
        <f>IFERROR(__xludf.DUMMYFUNCTION("""COMPUTED_VALUE"""),1.66857600000003)</f>
        <v>1.668576</v>
      </c>
    </row>
    <row r="813">
      <c r="A813" s="6" t="str">
        <f t="shared" si="5"/>
        <v>P5</v>
      </c>
      <c r="B813" s="2">
        <v>29.0</v>
      </c>
      <c r="C813" s="2" t="s">
        <v>160</v>
      </c>
      <c r="D813" s="2" t="s">
        <v>17</v>
      </c>
      <c r="E813" s="2">
        <v>10.0</v>
      </c>
      <c r="F813" s="6">
        <f>IFERROR(__xludf.DUMMYFUNCTION("""COMPUTED_VALUE"""),3.1241915999999)</f>
        <v>3.1241916</v>
      </c>
    </row>
    <row r="814">
      <c r="A814" s="6" t="str">
        <f t="shared" si="5"/>
        <v>P5</v>
      </c>
      <c r="B814" s="2">
        <v>30.0</v>
      </c>
      <c r="C814" s="2" t="s">
        <v>165</v>
      </c>
      <c r="D814" s="2" t="s">
        <v>17</v>
      </c>
      <c r="E814" s="2">
        <v>5.0</v>
      </c>
      <c r="F814" s="6">
        <f>IFERROR(__xludf.DUMMYFUNCTION("""COMPUTED_VALUE"""),1.607543600001)</f>
        <v>1.6075436</v>
      </c>
    </row>
    <row r="815">
      <c r="A815" s="6" t="str">
        <f t="shared" si="5"/>
        <v>P5</v>
      </c>
      <c r="B815" s="2">
        <v>31.0</v>
      </c>
      <c r="C815" s="2" t="s">
        <v>170</v>
      </c>
      <c r="D815" s="2" t="s">
        <v>17</v>
      </c>
      <c r="E815" s="2">
        <v>10.0</v>
      </c>
      <c r="F815" s="6">
        <f>IFERROR(__xludf.DUMMYFUNCTION("""COMPUTED_VALUE"""),1.42506730000059)</f>
        <v>1.4250673</v>
      </c>
    </row>
    <row r="816">
      <c r="A816" s="6" t="str">
        <f t="shared" si="5"/>
        <v>P5</v>
      </c>
      <c r="B816" s="2">
        <v>32.0</v>
      </c>
      <c r="C816" s="2" t="s">
        <v>175</v>
      </c>
      <c r="D816" s="2" t="s">
        <v>17</v>
      </c>
      <c r="E816" s="2">
        <v>10.0</v>
      </c>
      <c r="F816" s="6">
        <f>IFERROR(__xludf.DUMMYFUNCTION("""COMPUTED_VALUE"""),1.34768679999979)</f>
        <v>1.3476868</v>
      </c>
    </row>
    <row r="817">
      <c r="A817" s="6" t="str">
        <f t="shared" si="5"/>
        <v>P5</v>
      </c>
      <c r="B817" s="2">
        <v>33.0</v>
      </c>
      <c r="C817" s="2" t="s">
        <v>180</v>
      </c>
      <c r="D817" s="2" t="s">
        <v>17</v>
      </c>
      <c r="E817" s="2">
        <v>5.0</v>
      </c>
      <c r="F817" s="6">
        <f>IFERROR(__xludf.DUMMYFUNCTION("""COMPUTED_VALUE"""),1.30492749999939)</f>
        <v>1.3049275</v>
      </c>
    </row>
    <row r="818">
      <c r="A818" s="6" t="str">
        <f t="shared" si="5"/>
        <v>P5</v>
      </c>
      <c r="B818" s="2">
        <v>34.0</v>
      </c>
      <c r="C818" s="2" t="s">
        <v>185</v>
      </c>
      <c r="D818" s="2" t="s">
        <v>17</v>
      </c>
      <c r="E818" s="2">
        <v>5.0</v>
      </c>
      <c r="F818" s="6">
        <f>IFERROR(__xludf.DUMMYFUNCTION("""COMPUTED_VALUE"""),1.45643990000098)</f>
        <v>1.4564399</v>
      </c>
    </row>
    <row r="819">
      <c r="A819" s="6" t="str">
        <f t="shared" si="5"/>
        <v>P5</v>
      </c>
      <c r="B819" s="2">
        <v>35.0</v>
      </c>
      <c r="C819" s="2" t="s">
        <v>190</v>
      </c>
      <c r="D819" s="2" t="s">
        <v>17</v>
      </c>
      <c r="E819" s="2">
        <v>5.0</v>
      </c>
      <c r="F819" s="6">
        <f>IFERROR(__xludf.DUMMYFUNCTION("""COMPUTED_VALUE"""),1.28515470000093)</f>
        <v>1.2851547</v>
      </c>
    </row>
    <row r="820">
      <c r="A820" s="6" t="str">
        <f t="shared" si="5"/>
        <v>P5</v>
      </c>
      <c r="B820" s="2">
        <v>36.0</v>
      </c>
      <c r="C820" s="2" t="s">
        <v>195</v>
      </c>
      <c r="D820" s="2" t="s">
        <v>17</v>
      </c>
      <c r="E820" s="2">
        <v>10.0</v>
      </c>
      <c r="F820" s="6">
        <f>IFERROR(__xludf.DUMMYFUNCTION("""COMPUTED_VALUE"""),1.38254369999958)</f>
        <v>1.3825437</v>
      </c>
    </row>
    <row r="821">
      <c r="A821" s="6" t="str">
        <f t="shared" si="5"/>
        <v>P5</v>
      </c>
      <c r="B821" s="2">
        <v>37.0</v>
      </c>
      <c r="C821" s="2" t="s">
        <v>200</v>
      </c>
      <c r="D821" s="2" t="s">
        <v>17</v>
      </c>
      <c r="E821" s="2">
        <v>5.0</v>
      </c>
      <c r="F821" s="6">
        <f>IFERROR(__xludf.DUMMYFUNCTION("""COMPUTED_VALUE"""),1.46431060000031)</f>
        <v>1.4643106</v>
      </c>
    </row>
    <row r="822">
      <c r="A822" s="6" t="str">
        <f t="shared" si="5"/>
        <v>P5</v>
      </c>
      <c r="B822" s="2">
        <v>38.0</v>
      </c>
      <c r="C822" s="2" t="s">
        <v>205</v>
      </c>
      <c r="D822" s="2" t="s">
        <v>17</v>
      </c>
      <c r="E822" s="2">
        <v>5.0</v>
      </c>
      <c r="F822" s="6">
        <f>IFERROR(__xludf.DUMMYFUNCTION("""COMPUTED_VALUE"""),1.56069559999923)</f>
        <v>1.5606956</v>
      </c>
    </row>
    <row r="823">
      <c r="A823" s="6" t="str">
        <f t="shared" si="5"/>
        <v>P5</v>
      </c>
      <c r="B823" s="2">
        <v>39.0</v>
      </c>
      <c r="C823" s="2" t="s">
        <v>210</v>
      </c>
      <c r="D823" s="2" t="s">
        <v>17</v>
      </c>
      <c r="E823" s="2">
        <v>10.0</v>
      </c>
      <c r="F823" s="6">
        <f>IFERROR(__xludf.DUMMYFUNCTION("""COMPUTED_VALUE"""),1.90984510000089)</f>
        <v>1.9098451</v>
      </c>
    </row>
    <row r="824">
      <c r="A824" s="6" t="str">
        <f t="shared" si="5"/>
        <v>P5</v>
      </c>
      <c r="B824" s="2">
        <v>40.0</v>
      </c>
      <c r="C824" s="2" t="s">
        <v>215</v>
      </c>
      <c r="D824" s="2" t="s">
        <v>17</v>
      </c>
      <c r="E824" s="2">
        <v>10.0</v>
      </c>
      <c r="F824" s="6">
        <f>IFERROR(__xludf.DUMMYFUNCTION("""COMPUTED_VALUE"""),1.27844750000076)</f>
        <v>1.2784475</v>
      </c>
    </row>
    <row r="825">
      <c r="A825" s="6" t="str">
        <f t="shared" si="5"/>
        <v>P5</v>
      </c>
      <c r="B825" s="2">
        <v>41.0</v>
      </c>
      <c r="C825" s="2" t="s">
        <v>220</v>
      </c>
      <c r="D825" s="2" t="s">
        <v>17</v>
      </c>
      <c r="E825" s="2">
        <v>5.0</v>
      </c>
      <c r="F825" s="6">
        <f>IFERROR(__xludf.DUMMYFUNCTION("""COMPUTED_VALUE"""),1.27077939999981)</f>
        <v>1.2707794</v>
      </c>
    </row>
    <row r="826">
      <c r="A826" s="6" t="str">
        <f t="shared" si="5"/>
        <v>P5</v>
      </c>
      <c r="B826" s="2">
        <v>42.0</v>
      </c>
      <c r="C826" s="2" t="s">
        <v>225</v>
      </c>
      <c r="D826" s="2" t="s">
        <v>17</v>
      </c>
      <c r="E826" s="2">
        <v>5.0</v>
      </c>
      <c r="F826" s="6">
        <f>IFERROR(__xludf.DUMMYFUNCTION("""COMPUTED_VALUE"""),1.43413630000031)</f>
        <v>1.4341363</v>
      </c>
    </row>
    <row r="827">
      <c r="A827" s="6" t="str">
        <f t="shared" si="5"/>
        <v>P5</v>
      </c>
      <c r="B827" s="2">
        <v>43.0</v>
      </c>
      <c r="C827" s="2" t="s">
        <v>230</v>
      </c>
      <c r="D827" s="2" t="s">
        <v>17</v>
      </c>
      <c r="E827" s="2">
        <v>5.0</v>
      </c>
      <c r="F827" s="6">
        <f>IFERROR(__xludf.DUMMYFUNCTION("""COMPUTED_VALUE"""),1.36611719999928)</f>
        <v>1.3661172</v>
      </c>
    </row>
    <row r="828">
      <c r="A828" s="6" t="str">
        <f t="shared" si="5"/>
        <v>P5</v>
      </c>
      <c r="B828" s="2">
        <v>44.0</v>
      </c>
      <c r="C828" s="2" t="s">
        <v>235</v>
      </c>
      <c r="D828" s="2" t="s">
        <v>17</v>
      </c>
      <c r="E828" s="2">
        <v>10.0</v>
      </c>
      <c r="F828" s="6">
        <f>IFERROR(__xludf.DUMMYFUNCTION("""COMPUTED_VALUE"""),1.78141789999972)</f>
        <v>1.7814179</v>
      </c>
    </row>
    <row r="829">
      <c r="A829" s="6" t="str">
        <f t="shared" si="5"/>
        <v>P5</v>
      </c>
      <c r="B829" s="2">
        <v>45.0</v>
      </c>
      <c r="C829" s="2" t="s">
        <v>240</v>
      </c>
      <c r="D829" s="2" t="s">
        <v>17</v>
      </c>
      <c r="E829" s="2">
        <v>5.0</v>
      </c>
      <c r="F829" s="6">
        <f>IFERROR(__xludf.DUMMYFUNCTION("""COMPUTED_VALUE"""),1.49571920000016)</f>
        <v>1.4957192</v>
      </c>
    </row>
    <row r="830">
      <c r="A830" s="6" t="str">
        <f t="shared" si="5"/>
        <v>P5</v>
      </c>
      <c r="B830" s="2">
        <v>46.0</v>
      </c>
      <c r="C830" s="2" t="s">
        <v>245</v>
      </c>
      <c r="D830" s="2" t="s">
        <v>17</v>
      </c>
      <c r="E830" s="2">
        <v>5.0</v>
      </c>
      <c r="F830" s="6">
        <f>IFERROR(__xludf.DUMMYFUNCTION("""COMPUTED_VALUE"""),1.81170650000058)</f>
        <v>1.8117065</v>
      </c>
    </row>
    <row r="831">
      <c r="A831" s="6" t="str">
        <f t="shared" si="5"/>
        <v>P5</v>
      </c>
      <c r="B831" s="2">
        <v>47.0</v>
      </c>
      <c r="C831" s="2" t="s">
        <v>250</v>
      </c>
      <c r="D831" s="2" t="s">
        <v>17</v>
      </c>
      <c r="E831" s="2">
        <v>10.0</v>
      </c>
      <c r="F831" s="6">
        <f>IFERROR(__xludf.DUMMYFUNCTION("""COMPUTED_VALUE"""),2.82398400000056)</f>
        <v>2.823984</v>
      </c>
    </row>
    <row r="832">
      <c r="A832" s="6" t="str">
        <f t="shared" si="5"/>
        <v>P5</v>
      </c>
      <c r="B832" s="2">
        <v>48.0</v>
      </c>
      <c r="C832" s="2" t="s">
        <v>255</v>
      </c>
      <c r="D832" s="2" t="s">
        <v>17</v>
      </c>
      <c r="E832" s="2">
        <v>10.0</v>
      </c>
      <c r="F832" s="6">
        <f>IFERROR(__xludf.DUMMYFUNCTION("""COMPUTED_VALUE"""),2.08924329999899)</f>
        <v>2.0892433</v>
      </c>
    </row>
    <row r="833">
      <c r="A833" s="6" t="str">
        <f t="shared" si="5"/>
        <v>P5</v>
      </c>
      <c r="B833" s="2">
        <v>49.0</v>
      </c>
      <c r="C833" s="2" t="s">
        <v>260</v>
      </c>
      <c r="D833" s="2" t="s">
        <v>17</v>
      </c>
      <c r="E833" s="2">
        <v>10.0</v>
      </c>
      <c r="F833" s="6">
        <f>IFERROR(__xludf.DUMMYFUNCTION("""COMPUTED_VALUE"""),2.74334180000005)</f>
        <v>2.7433418</v>
      </c>
    </row>
    <row r="834">
      <c r="A834" s="6" t="str">
        <f t="shared" si="5"/>
        <v>P5</v>
      </c>
      <c r="B834" s="2">
        <v>50.0</v>
      </c>
      <c r="C834" s="2" t="s">
        <v>265</v>
      </c>
      <c r="D834" s="2" t="s">
        <v>17</v>
      </c>
      <c r="E834" s="2">
        <v>10.0</v>
      </c>
      <c r="F834" s="6">
        <f>IFERROR(__xludf.DUMMYFUNCTION("""COMPUTED_VALUE"""),2.4071797000015)</f>
        <v>2.4071797</v>
      </c>
    </row>
    <row r="835">
      <c r="A835" s="6" t="str">
        <f t="shared" si="5"/>
        <v>P5</v>
      </c>
      <c r="B835" s="2">
        <v>51.0</v>
      </c>
      <c r="C835" s="2" t="s">
        <v>270</v>
      </c>
      <c r="D835" s="2" t="s">
        <v>17</v>
      </c>
      <c r="E835" s="2">
        <v>10.0</v>
      </c>
      <c r="F835" s="6">
        <f>IFERROR(__xludf.DUMMYFUNCTION("""COMPUTED_VALUE"""),1.55831880000005)</f>
        <v>1.5583188</v>
      </c>
    </row>
    <row r="836">
      <c r="A836" s="6" t="str">
        <f t="shared" si="5"/>
        <v>P5</v>
      </c>
      <c r="B836" s="2">
        <v>52.0</v>
      </c>
      <c r="C836" s="2" t="s">
        <v>275</v>
      </c>
      <c r="D836" s="2" t="s">
        <v>17</v>
      </c>
      <c r="E836" s="2">
        <v>5.0</v>
      </c>
      <c r="F836" s="6">
        <f>IFERROR(__xludf.DUMMYFUNCTION("""COMPUTED_VALUE"""),1.82227070000044)</f>
        <v>1.8222707</v>
      </c>
    </row>
    <row r="837">
      <c r="A837" s="6" t="str">
        <f t="shared" si="5"/>
        <v>P5</v>
      </c>
      <c r="B837" s="2">
        <v>53.0</v>
      </c>
      <c r="C837" s="2" t="s">
        <v>280</v>
      </c>
      <c r="D837" s="2" t="s">
        <v>17</v>
      </c>
      <c r="E837" s="2">
        <v>5.0</v>
      </c>
      <c r="F837" s="6">
        <f>IFERROR(__xludf.DUMMYFUNCTION("""COMPUTED_VALUE"""),1.32333300000027)</f>
        <v>1.323333</v>
      </c>
    </row>
    <row r="838">
      <c r="A838" s="6" t="str">
        <f t="shared" si="5"/>
        <v>P5</v>
      </c>
      <c r="B838" s="2">
        <v>54.0</v>
      </c>
      <c r="C838" s="2" t="s">
        <v>285</v>
      </c>
      <c r="D838" s="2" t="s">
        <v>17</v>
      </c>
      <c r="E838" s="2">
        <v>5.0</v>
      </c>
      <c r="F838" s="6">
        <f>IFERROR(__xludf.DUMMYFUNCTION("""COMPUTED_VALUE"""),1.5928103999995)</f>
        <v>1.5928104</v>
      </c>
    </row>
    <row r="839">
      <c r="A839" s="6" t="str">
        <f t="shared" si="5"/>
        <v>P5</v>
      </c>
      <c r="B839" s="2">
        <v>55.0</v>
      </c>
      <c r="C839" s="2" t="s">
        <v>290</v>
      </c>
      <c r="D839" s="2" t="s">
        <v>17</v>
      </c>
      <c r="E839" s="2">
        <v>5.0</v>
      </c>
      <c r="F839" s="6">
        <f>IFERROR(__xludf.DUMMYFUNCTION("""COMPUTED_VALUE"""),1.58673620000081)</f>
        <v>1.5867362</v>
      </c>
    </row>
    <row r="840">
      <c r="A840" s="6" t="str">
        <f t="shared" si="5"/>
        <v>P5</v>
      </c>
      <c r="B840" s="2">
        <v>56.0</v>
      </c>
      <c r="C840" s="2" t="s">
        <v>295</v>
      </c>
      <c r="D840" s="2" t="s">
        <v>17</v>
      </c>
      <c r="E840" s="2">
        <v>5.0</v>
      </c>
      <c r="F840" s="6">
        <f>IFERROR(__xludf.DUMMYFUNCTION("""COMPUTED_VALUE"""),1.60952850000103)</f>
        <v>1.6095285</v>
      </c>
    </row>
    <row r="841">
      <c r="A841" s="6" t="str">
        <f t="shared" si="5"/>
        <v>P5</v>
      </c>
      <c r="B841" s="2">
        <v>57.0</v>
      </c>
      <c r="C841" s="2" t="s">
        <v>300</v>
      </c>
      <c r="D841" s="2" t="s">
        <v>17</v>
      </c>
      <c r="E841" s="2">
        <v>5.0</v>
      </c>
      <c r="F841" s="6">
        <f>IFERROR(__xludf.DUMMYFUNCTION("""COMPUTED_VALUE"""),1.65480670000033)</f>
        <v>1.6548067</v>
      </c>
    </row>
    <row r="842">
      <c r="A842" s="6" t="str">
        <f t="shared" si="5"/>
        <v>P5</v>
      </c>
      <c r="B842" s="2">
        <v>58.0</v>
      </c>
      <c r="C842" s="2" t="s">
        <v>305</v>
      </c>
      <c r="D842" s="2" t="s">
        <v>17</v>
      </c>
      <c r="E842" s="2">
        <v>5.0</v>
      </c>
      <c r="F842" s="6">
        <f>IFERROR(__xludf.DUMMYFUNCTION("""COMPUTED_VALUE"""),1.64094400000067)</f>
        <v>1.640944</v>
      </c>
    </row>
    <row r="843">
      <c r="A843" s="6" t="str">
        <f t="shared" si="5"/>
        <v>P5</v>
      </c>
      <c r="B843" s="2">
        <v>59.0</v>
      </c>
      <c r="C843" s="2" t="s">
        <v>310</v>
      </c>
      <c r="D843" s="2" t="s">
        <v>17</v>
      </c>
      <c r="E843" s="2">
        <v>10.0</v>
      </c>
      <c r="F843" s="6">
        <f>IFERROR(__xludf.DUMMYFUNCTION("""COMPUTED_VALUE"""),1.68331209999996)</f>
        <v>1.6833121</v>
      </c>
    </row>
    <row r="844">
      <c r="A844" s="6" t="str">
        <f t="shared" si="5"/>
        <v>P5</v>
      </c>
      <c r="B844" s="2">
        <v>60.0</v>
      </c>
      <c r="C844" s="2" t="s">
        <v>315</v>
      </c>
      <c r="D844" s="2" t="s">
        <v>17</v>
      </c>
      <c r="E844" s="2">
        <v>10.0</v>
      </c>
      <c r="F844" s="6">
        <f>IFERROR(__xludf.DUMMYFUNCTION("""COMPUTED_VALUE"""),4.51497350000136)</f>
        <v>4.5149735</v>
      </c>
    </row>
    <row r="845">
      <c r="A845" s="6" t="str">
        <f t="shared" si="5"/>
        <v>P5</v>
      </c>
      <c r="B845" s="2">
        <v>61.0</v>
      </c>
      <c r="C845" s="2" t="s">
        <v>320</v>
      </c>
      <c r="D845" s="2" t="s">
        <v>17</v>
      </c>
      <c r="E845" s="2">
        <v>10.0</v>
      </c>
      <c r="F845" s="6">
        <f>IFERROR(__xludf.DUMMYFUNCTION("""COMPUTED_VALUE"""),1.63998199999878)</f>
        <v>1.639982</v>
      </c>
    </row>
    <row r="846">
      <c r="A846" s="6" t="str">
        <f t="shared" si="5"/>
        <v>P5</v>
      </c>
      <c r="B846" s="2">
        <v>62.0</v>
      </c>
      <c r="C846" s="2" t="s">
        <v>325</v>
      </c>
      <c r="D846" s="2" t="s">
        <v>17</v>
      </c>
      <c r="E846" s="2">
        <v>5.0</v>
      </c>
      <c r="F846" s="6">
        <f>IFERROR(__xludf.DUMMYFUNCTION("""COMPUTED_VALUE"""),1.0165278000004)</f>
        <v>1.0165278</v>
      </c>
    </row>
    <row r="847">
      <c r="A847" s="6" t="str">
        <f t="shared" si="5"/>
        <v>P5</v>
      </c>
      <c r="B847" s="2">
        <v>63.0</v>
      </c>
      <c r="C847" s="2" t="s">
        <v>330</v>
      </c>
      <c r="D847" s="2" t="s">
        <v>17</v>
      </c>
      <c r="E847" s="2">
        <v>10.0</v>
      </c>
      <c r="F847" s="6">
        <f>IFERROR(__xludf.DUMMYFUNCTION("""COMPUTED_VALUE"""),1.94454199999927)</f>
        <v>1.944542</v>
      </c>
    </row>
    <row r="848">
      <c r="A848" s="6" t="str">
        <f t="shared" si="5"/>
        <v>P5</v>
      </c>
      <c r="B848" s="2">
        <v>64.0</v>
      </c>
      <c r="C848" s="2" t="s">
        <v>335</v>
      </c>
      <c r="D848" s="2" t="s">
        <v>17</v>
      </c>
      <c r="E848" s="2">
        <v>10.0</v>
      </c>
      <c r="F848" s="6">
        <f>IFERROR(__xludf.DUMMYFUNCTION("""COMPUTED_VALUE"""),1.59527230000094)</f>
        <v>1.5952723</v>
      </c>
    </row>
    <row r="849">
      <c r="A849" s="6" t="str">
        <f t="shared" si="5"/>
        <v>P5</v>
      </c>
      <c r="B849" s="2">
        <v>65.0</v>
      </c>
      <c r="C849" s="2" t="s">
        <v>340</v>
      </c>
      <c r="D849" s="2" t="s">
        <v>17</v>
      </c>
      <c r="E849" s="2">
        <v>5.0</v>
      </c>
      <c r="F849" s="6">
        <f>IFERROR(__xludf.DUMMYFUNCTION("""COMPUTED_VALUE"""),1.54065649999938)</f>
        <v>1.5406565</v>
      </c>
    </row>
    <row r="850">
      <c r="A850" s="6" t="str">
        <f t="shared" si="5"/>
        <v>P5</v>
      </c>
      <c r="B850" s="2">
        <v>66.0</v>
      </c>
      <c r="C850" s="2" t="s">
        <v>345</v>
      </c>
      <c r="D850" s="2" t="s">
        <v>17</v>
      </c>
      <c r="E850" s="2">
        <v>10.0</v>
      </c>
      <c r="F850" s="6">
        <f>IFERROR(__xludf.DUMMYFUNCTION("""COMPUTED_VALUE"""),1.64168860000063)</f>
        <v>1.6416886</v>
      </c>
    </row>
    <row r="851">
      <c r="A851" s="6" t="str">
        <f t="shared" si="5"/>
        <v>P5</v>
      </c>
      <c r="B851" s="2">
        <v>67.0</v>
      </c>
      <c r="C851" s="2" t="s">
        <v>350</v>
      </c>
      <c r="D851" s="2" t="s">
        <v>17</v>
      </c>
      <c r="E851" s="2">
        <v>5.0</v>
      </c>
      <c r="F851" s="6">
        <f>IFERROR(__xludf.DUMMYFUNCTION("""COMPUTED_VALUE"""),1.35955449999892)</f>
        <v>1.3595545</v>
      </c>
    </row>
    <row r="852">
      <c r="A852" s="6" t="str">
        <f t="shared" si="5"/>
        <v>P5</v>
      </c>
      <c r="B852" s="2">
        <v>68.0</v>
      </c>
      <c r="C852" s="2" t="s">
        <v>355</v>
      </c>
      <c r="D852" s="2" t="s">
        <v>17</v>
      </c>
      <c r="E852" s="2">
        <v>10.0</v>
      </c>
      <c r="F852" s="6">
        <f>IFERROR(__xludf.DUMMYFUNCTION("""COMPUTED_VALUE"""),1.80975829999988)</f>
        <v>1.8097583</v>
      </c>
    </row>
    <row r="853">
      <c r="A853" s="6" t="str">
        <f t="shared" si="5"/>
        <v>P5</v>
      </c>
      <c r="B853" s="2">
        <v>69.0</v>
      </c>
      <c r="C853" s="2" t="s">
        <v>360</v>
      </c>
      <c r="D853" s="2" t="s">
        <v>17</v>
      </c>
      <c r="E853" s="2">
        <v>5.0</v>
      </c>
      <c r="F853" s="6">
        <f>IFERROR(__xludf.DUMMYFUNCTION("""COMPUTED_VALUE"""),1.7349651000004)</f>
        <v>1.7349651</v>
      </c>
    </row>
    <row r="854">
      <c r="A854" s="6" t="str">
        <f t="shared" si="5"/>
        <v>P5</v>
      </c>
      <c r="B854" s="2">
        <v>70.0</v>
      </c>
      <c r="C854" s="2" t="s">
        <v>365</v>
      </c>
      <c r="D854" s="2" t="s">
        <v>17</v>
      </c>
      <c r="E854" s="2">
        <v>5.0</v>
      </c>
      <c r="F854" s="6">
        <f>IFERROR(__xludf.DUMMYFUNCTION("""COMPUTED_VALUE"""),1.31344069999977)</f>
        <v>1.3134407</v>
      </c>
    </row>
    <row r="855">
      <c r="A855" s="6" t="str">
        <f t="shared" si="5"/>
        <v>P5</v>
      </c>
      <c r="B855" s="2">
        <v>71.0</v>
      </c>
      <c r="C855" s="2" t="s">
        <v>370</v>
      </c>
      <c r="D855" s="2" t="s">
        <v>17</v>
      </c>
      <c r="E855" s="2">
        <v>5.0</v>
      </c>
      <c r="F855" s="6">
        <f>IFERROR(__xludf.DUMMYFUNCTION("""COMPUTED_VALUE"""),1.23358929999994)</f>
        <v>1.2335893</v>
      </c>
    </row>
    <row r="856">
      <c r="A856" s="6" t="str">
        <f t="shared" si="5"/>
        <v>P5</v>
      </c>
      <c r="B856" s="2">
        <v>72.0</v>
      </c>
      <c r="C856" s="2" t="s">
        <v>375</v>
      </c>
      <c r="D856" s="2" t="s">
        <v>17</v>
      </c>
      <c r="E856" s="2">
        <v>10.0</v>
      </c>
      <c r="F856" s="6">
        <f>IFERROR(__xludf.DUMMYFUNCTION("""COMPUTED_VALUE"""),1.26989630000025)</f>
        <v>1.2698963</v>
      </c>
    </row>
    <row r="857">
      <c r="A857" s="6" t="str">
        <f t="shared" si="5"/>
        <v>P5</v>
      </c>
      <c r="B857" s="2">
        <v>73.0</v>
      </c>
      <c r="C857" s="2" t="s">
        <v>379</v>
      </c>
      <c r="D857" s="2" t="s">
        <v>17</v>
      </c>
      <c r="E857" s="2">
        <v>5.0</v>
      </c>
      <c r="F857" s="6">
        <f>IFERROR(__xludf.DUMMYFUNCTION("""COMPUTED_VALUE"""),1.22380949999933)</f>
        <v>1.2238095</v>
      </c>
    </row>
    <row r="858">
      <c r="A858" s="6" t="str">
        <f t="shared" si="5"/>
        <v>P5</v>
      </c>
      <c r="B858" s="2">
        <v>74.0</v>
      </c>
      <c r="C858" s="2" t="s">
        <v>384</v>
      </c>
      <c r="D858" s="2" t="s">
        <v>17</v>
      </c>
      <c r="E858" s="2">
        <v>10.0</v>
      </c>
      <c r="F858" s="6">
        <f>IFERROR(__xludf.DUMMYFUNCTION("""COMPUTED_VALUE"""),1.45129350000024)</f>
        <v>1.4512935</v>
      </c>
    </row>
    <row r="859">
      <c r="A859" s="6" t="str">
        <f t="shared" si="5"/>
        <v>P5</v>
      </c>
      <c r="B859" s="2">
        <v>75.0</v>
      </c>
      <c r="C859" s="2" t="s">
        <v>389</v>
      </c>
      <c r="D859" s="2" t="s">
        <v>17</v>
      </c>
      <c r="E859" s="2">
        <v>10.0</v>
      </c>
      <c r="F859" s="6">
        <f>IFERROR(__xludf.DUMMYFUNCTION("""COMPUTED_VALUE"""),1.57948650000071)</f>
        <v>1.5794865</v>
      </c>
    </row>
    <row r="860">
      <c r="A860" s="6" t="str">
        <f t="shared" si="5"/>
        <v>P5</v>
      </c>
      <c r="B860" s="2">
        <v>76.0</v>
      </c>
      <c r="C860" s="2" t="s">
        <v>394</v>
      </c>
      <c r="D860" s="2" t="s">
        <v>17</v>
      </c>
      <c r="E860" s="2">
        <v>10.0</v>
      </c>
      <c r="F860" s="6">
        <f>IFERROR(__xludf.DUMMYFUNCTION("""COMPUTED_VALUE"""),1.7407961000008)</f>
        <v>1.7407961</v>
      </c>
    </row>
    <row r="861">
      <c r="A861" s="6" t="str">
        <f t="shared" si="5"/>
        <v>P5</v>
      </c>
      <c r="B861" s="2">
        <v>77.0</v>
      </c>
      <c r="C861" s="2" t="s">
        <v>399</v>
      </c>
      <c r="D861" s="2" t="s">
        <v>17</v>
      </c>
      <c r="E861" s="2">
        <v>10.0</v>
      </c>
      <c r="F861" s="6">
        <f>IFERROR(__xludf.DUMMYFUNCTION("""COMPUTED_VALUE"""),1.67443659999844)</f>
        <v>1.6744366</v>
      </c>
    </row>
    <row r="862">
      <c r="A862" s="6" t="str">
        <f t="shared" si="5"/>
        <v>P5</v>
      </c>
      <c r="B862" s="2">
        <v>78.0</v>
      </c>
      <c r="C862" s="2" t="s">
        <v>404</v>
      </c>
      <c r="D862" s="2" t="s">
        <v>17</v>
      </c>
      <c r="E862" s="2">
        <v>5.0</v>
      </c>
      <c r="F862" s="6">
        <f>IFERROR(__xludf.DUMMYFUNCTION("""COMPUTED_VALUE"""),1.2406678999996)</f>
        <v>1.2406679</v>
      </c>
    </row>
    <row r="863">
      <c r="A863" s="6" t="str">
        <f t="shared" si="5"/>
        <v>P5</v>
      </c>
      <c r="B863" s="2">
        <v>79.0</v>
      </c>
      <c r="C863" s="2" t="s">
        <v>409</v>
      </c>
      <c r="D863" s="2" t="s">
        <v>17</v>
      </c>
      <c r="E863" s="2">
        <v>10.0</v>
      </c>
      <c r="F863" s="6">
        <f>IFERROR(__xludf.DUMMYFUNCTION("""COMPUTED_VALUE"""),2.05064780000066)</f>
        <v>2.0506478</v>
      </c>
    </row>
    <row r="864">
      <c r="A864" s="6" t="str">
        <f t="shared" si="5"/>
        <v>P5</v>
      </c>
      <c r="B864" s="2">
        <v>80.0</v>
      </c>
      <c r="C864" s="2" t="s">
        <v>414</v>
      </c>
      <c r="D864" s="2" t="s">
        <v>17</v>
      </c>
      <c r="E864" s="2">
        <v>5.0</v>
      </c>
      <c r="F864" s="6">
        <f>IFERROR(__xludf.DUMMYFUNCTION("""COMPUTED_VALUE"""),2.22902070000054)</f>
        <v>2.2290207</v>
      </c>
    </row>
    <row r="865">
      <c r="A865" s="6" t="str">
        <f t="shared" si="5"/>
        <v>P5</v>
      </c>
      <c r="B865" s="2">
        <v>81.0</v>
      </c>
      <c r="C865" s="2" t="s">
        <v>419</v>
      </c>
      <c r="D865" s="2" t="s">
        <v>17</v>
      </c>
      <c r="E865" s="2">
        <v>10.0</v>
      </c>
      <c r="F865" s="6">
        <f>IFERROR(__xludf.DUMMYFUNCTION("""COMPUTED_VALUE"""),1.80177440000079)</f>
        <v>1.8017744</v>
      </c>
    </row>
    <row r="866">
      <c r="A866" s="6" t="str">
        <f t="shared" si="5"/>
        <v>P5</v>
      </c>
      <c r="B866" s="2">
        <v>82.0</v>
      </c>
      <c r="C866" s="2" t="s">
        <v>423</v>
      </c>
      <c r="D866" s="2" t="s">
        <v>17</v>
      </c>
      <c r="E866" s="2">
        <v>5.0</v>
      </c>
      <c r="F866" s="6">
        <f>IFERROR(__xludf.DUMMYFUNCTION("""COMPUTED_VALUE"""),1.41657899999881)</f>
        <v>1.416579</v>
      </c>
    </row>
    <row r="867">
      <c r="A867" s="6" t="str">
        <f t="shared" si="5"/>
        <v>P5</v>
      </c>
      <c r="B867" s="2">
        <v>83.0</v>
      </c>
      <c r="C867" s="2" t="s">
        <v>428</v>
      </c>
      <c r="D867" s="2" t="s">
        <v>17</v>
      </c>
      <c r="E867" s="2">
        <v>10.0</v>
      </c>
      <c r="F867" s="6">
        <f>IFERROR(__xludf.DUMMYFUNCTION("""COMPUTED_VALUE"""),1.4272032000008)</f>
        <v>1.4272032</v>
      </c>
    </row>
    <row r="868">
      <c r="A868" s="6" t="str">
        <f t="shared" si="5"/>
        <v>P5</v>
      </c>
      <c r="B868" s="2">
        <v>84.0</v>
      </c>
      <c r="C868" s="2" t="s">
        <v>433</v>
      </c>
      <c r="D868" s="2" t="s">
        <v>17</v>
      </c>
      <c r="E868" s="2">
        <v>5.0</v>
      </c>
      <c r="F868" s="6">
        <f>IFERROR(__xludf.DUMMYFUNCTION("""COMPUTED_VALUE"""),1.87164029999985)</f>
        <v>1.8716403</v>
      </c>
    </row>
    <row r="869">
      <c r="A869" s="6" t="str">
        <f t="shared" si="5"/>
        <v>P5</v>
      </c>
      <c r="B869" s="2">
        <v>85.0</v>
      </c>
      <c r="C869" s="2" t="s">
        <v>438</v>
      </c>
      <c r="D869" s="2" t="s">
        <v>17</v>
      </c>
      <c r="E869" s="2">
        <v>10.0</v>
      </c>
      <c r="F869" s="6">
        <f>IFERROR(__xludf.DUMMYFUNCTION("""COMPUTED_VALUE"""),1.66184429999884)</f>
        <v>1.6618443</v>
      </c>
    </row>
    <row r="870">
      <c r="A870" s="6" t="str">
        <f t="shared" si="5"/>
        <v>P5</v>
      </c>
      <c r="B870" s="2">
        <v>86.0</v>
      </c>
      <c r="C870" s="2" t="s">
        <v>443</v>
      </c>
      <c r="D870" s="2" t="s">
        <v>17</v>
      </c>
      <c r="E870" s="2">
        <v>10.0</v>
      </c>
      <c r="F870" s="6">
        <f>IFERROR(__xludf.DUMMYFUNCTION("""COMPUTED_VALUE"""),2.07962670000051)</f>
        <v>2.0796267</v>
      </c>
    </row>
    <row r="871">
      <c r="A871" s="6" t="str">
        <f t="shared" si="5"/>
        <v>P5</v>
      </c>
      <c r="B871" s="2">
        <v>87.0</v>
      </c>
      <c r="C871" s="2" t="s">
        <v>448</v>
      </c>
      <c r="D871" s="2" t="s">
        <v>17</v>
      </c>
      <c r="E871" s="2">
        <v>10.0</v>
      </c>
      <c r="F871" s="6">
        <f>IFERROR(__xludf.DUMMYFUNCTION("""COMPUTED_VALUE"""),1.76021260000015)</f>
        <v>1.7602126</v>
      </c>
    </row>
    <row r="872">
      <c r="A872" s="6" t="str">
        <f t="shared" si="5"/>
        <v>P5</v>
      </c>
      <c r="B872" s="2">
        <v>88.0</v>
      </c>
      <c r="C872" s="2" t="s">
        <v>453</v>
      </c>
      <c r="D872" s="2" t="s">
        <v>17</v>
      </c>
      <c r="E872" s="2">
        <v>5.0</v>
      </c>
      <c r="F872" s="6">
        <f>IFERROR(__xludf.DUMMYFUNCTION("""COMPUTED_VALUE"""),1.27135739999903)</f>
        <v>1.2713574</v>
      </c>
    </row>
    <row r="873">
      <c r="A873" s="6" t="str">
        <f t="shared" si="5"/>
        <v>P5</v>
      </c>
      <c r="B873" s="2">
        <v>89.0</v>
      </c>
      <c r="C873" s="2" t="s">
        <v>458</v>
      </c>
      <c r="D873" s="2" t="s">
        <v>17</v>
      </c>
      <c r="E873" s="2">
        <v>10.0</v>
      </c>
      <c r="F873" s="6">
        <f>IFERROR(__xludf.DUMMYFUNCTION("""COMPUTED_VALUE"""),1.50771759999952)</f>
        <v>1.5077176</v>
      </c>
    </row>
    <row r="874">
      <c r="A874" s="6" t="str">
        <f t="shared" si="5"/>
        <v>P5</v>
      </c>
      <c r="B874" s="2">
        <v>90.0</v>
      </c>
      <c r="C874" s="2" t="s">
        <v>463</v>
      </c>
      <c r="D874" s="2" t="s">
        <v>17</v>
      </c>
      <c r="E874" s="2">
        <v>10.0</v>
      </c>
      <c r="F874" s="6">
        <f>IFERROR(__xludf.DUMMYFUNCTION("""COMPUTED_VALUE"""),1.49609049999889)</f>
        <v>1.4960905</v>
      </c>
    </row>
    <row r="875">
      <c r="A875" s="6" t="str">
        <f t="shared" si="5"/>
        <v>P5</v>
      </c>
      <c r="B875" s="2">
        <v>91.0</v>
      </c>
      <c r="C875" s="2" t="s">
        <v>468</v>
      </c>
      <c r="D875" s="2" t="s">
        <v>17</v>
      </c>
      <c r="E875" s="2">
        <v>5.0</v>
      </c>
      <c r="F875" s="6">
        <f>IFERROR(__xludf.DUMMYFUNCTION("""COMPUTED_VALUE"""),1.68928019999839)</f>
        <v>1.6892802</v>
      </c>
    </row>
    <row r="876">
      <c r="A876" s="6" t="str">
        <f t="shared" si="5"/>
        <v>P5</v>
      </c>
      <c r="B876" s="2">
        <v>92.0</v>
      </c>
      <c r="C876" s="2" t="s">
        <v>473</v>
      </c>
      <c r="D876" s="2" t="s">
        <v>17</v>
      </c>
      <c r="E876" s="2">
        <v>5.0</v>
      </c>
      <c r="F876" s="6">
        <f>IFERROR(__xludf.DUMMYFUNCTION("""COMPUTED_VALUE"""),1.73443270000097)</f>
        <v>1.7344327</v>
      </c>
    </row>
    <row r="877">
      <c r="A877" s="6" t="str">
        <f t="shared" si="5"/>
        <v>P5</v>
      </c>
      <c r="B877" s="2">
        <v>93.0</v>
      </c>
      <c r="C877" s="2" t="s">
        <v>478</v>
      </c>
      <c r="D877" s="2" t="s">
        <v>17</v>
      </c>
      <c r="E877" s="2">
        <v>5.0</v>
      </c>
      <c r="F877" s="6">
        <f>IFERROR(__xludf.DUMMYFUNCTION("""COMPUTED_VALUE"""),1.27595079999991)</f>
        <v>1.2759508</v>
      </c>
    </row>
    <row r="878">
      <c r="A878" s="6" t="str">
        <f t="shared" si="5"/>
        <v>P5</v>
      </c>
      <c r="B878" s="2">
        <v>94.0</v>
      </c>
      <c r="C878" s="2" t="s">
        <v>483</v>
      </c>
      <c r="D878" s="2" t="s">
        <v>17</v>
      </c>
      <c r="E878" s="2">
        <v>5.0</v>
      </c>
      <c r="F878" s="6">
        <f>IFERROR(__xludf.DUMMYFUNCTION("""COMPUTED_VALUE"""),1.44915560000117)</f>
        <v>1.4491556</v>
      </c>
    </row>
    <row r="879">
      <c r="A879" s="6" t="str">
        <f t="shared" si="5"/>
        <v>P5</v>
      </c>
      <c r="B879" s="2">
        <v>95.0</v>
      </c>
      <c r="C879" s="2" t="s">
        <v>488</v>
      </c>
      <c r="D879" s="2" t="s">
        <v>17</v>
      </c>
      <c r="E879" s="2">
        <v>10.0</v>
      </c>
      <c r="F879" s="6">
        <f>IFERROR(__xludf.DUMMYFUNCTION("""COMPUTED_VALUE"""),1.54829900000004)</f>
        <v>1.548299</v>
      </c>
    </row>
    <row r="880">
      <c r="A880" s="6" t="str">
        <f t="shared" si="5"/>
        <v>P5</v>
      </c>
      <c r="B880" s="2">
        <v>96.0</v>
      </c>
      <c r="C880" s="2" t="s">
        <v>493</v>
      </c>
      <c r="D880" s="2" t="s">
        <v>17</v>
      </c>
      <c r="E880" s="2">
        <v>5.0</v>
      </c>
      <c r="F880" s="6">
        <f>IFERROR(__xludf.DUMMYFUNCTION("""COMPUTED_VALUE"""),1.5573674999996)</f>
        <v>1.5573675</v>
      </c>
    </row>
    <row r="881">
      <c r="A881" s="6" t="str">
        <f t="shared" si="5"/>
        <v>P5</v>
      </c>
      <c r="B881" s="2">
        <v>97.0</v>
      </c>
      <c r="C881" s="2" t="s">
        <v>498</v>
      </c>
      <c r="D881" s="2" t="s">
        <v>17</v>
      </c>
      <c r="E881" s="2">
        <v>5.0</v>
      </c>
      <c r="F881" s="6">
        <f>IFERROR(__xludf.DUMMYFUNCTION("""COMPUTED_VALUE"""),1.15204130000165)</f>
        <v>1.1520413</v>
      </c>
    </row>
    <row r="882">
      <c r="A882" s="6" t="str">
        <f t="shared" si="5"/>
        <v>P5</v>
      </c>
      <c r="B882" s="2">
        <v>98.0</v>
      </c>
      <c r="C882" s="2" t="s">
        <v>503</v>
      </c>
      <c r="D882" s="2" t="s">
        <v>17</v>
      </c>
      <c r="E882" s="2">
        <v>10.0</v>
      </c>
      <c r="F882" s="6">
        <f>IFERROR(__xludf.DUMMYFUNCTION("""COMPUTED_VALUE"""),2.13497529999949)</f>
        <v>2.1349753</v>
      </c>
    </row>
    <row r="883">
      <c r="A883" s="6" t="str">
        <f t="shared" si="5"/>
        <v>P5</v>
      </c>
      <c r="B883" s="2">
        <v>99.0</v>
      </c>
      <c r="C883" s="2" t="s">
        <v>507</v>
      </c>
      <c r="D883" s="2" t="s">
        <v>17</v>
      </c>
      <c r="E883" s="2">
        <v>10.0</v>
      </c>
      <c r="F883" s="6">
        <f>IFERROR(__xludf.DUMMYFUNCTION("""COMPUTED_VALUE"""),1.97790399999939)</f>
        <v>1.977904</v>
      </c>
    </row>
    <row r="884">
      <c r="A884" s="6" t="str">
        <f t="shared" si="5"/>
        <v>P5</v>
      </c>
      <c r="B884" s="2">
        <v>100.0</v>
      </c>
      <c r="C884" s="2" t="s">
        <v>511</v>
      </c>
      <c r="D884" s="2" t="s">
        <v>17</v>
      </c>
      <c r="E884" s="2">
        <v>10.0</v>
      </c>
      <c r="F884" s="6">
        <f>IFERROR(__xludf.DUMMYFUNCTION("""COMPUTED_VALUE"""),1.36233109999921)</f>
        <v>1.3623311</v>
      </c>
    </row>
    <row r="885">
      <c r="A885" s="6" t="str">
        <f t="shared" si="5"/>
        <v>P5</v>
      </c>
      <c r="B885" s="2">
        <v>101.0</v>
      </c>
      <c r="C885" s="2" t="s">
        <v>516</v>
      </c>
      <c r="D885" s="2" t="s">
        <v>17</v>
      </c>
      <c r="E885" s="2">
        <v>5.0</v>
      </c>
      <c r="F885" s="6">
        <f>IFERROR(__xludf.DUMMYFUNCTION("""COMPUTED_VALUE"""),1.30281930000091)</f>
        <v>1.3028193</v>
      </c>
    </row>
    <row r="886">
      <c r="A886" s="6" t="str">
        <f t="shared" si="5"/>
        <v>P5</v>
      </c>
      <c r="B886" s="2">
        <v>102.0</v>
      </c>
      <c r="C886" s="2" t="s">
        <v>521</v>
      </c>
      <c r="D886" s="2" t="s">
        <v>17</v>
      </c>
      <c r="E886" s="2">
        <v>5.0</v>
      </c>
      <c r="F886" s="6">
        <f>IFERROR(__xludf.DUMMYFUNCTION("""COMPUTED_VALUE"""),1.55837790000077)</f>
        <v>1.5583779</v>
      </c>
    </row>
    <row r="887">
      <c r="A887" s="6" t="str">
        <f t="shared" si="5"/>
        <v>P5</v>
      </c>
      <c r="B887" s="2">
        <v>103.0</v>
      </c>
      <c r="C887" s="2" t="s">
        <v>526</v>
      </c>
      <c r="D887" s="2" t="s">
        <v>17</v>
      </c>
      <c r="E887" s="2">
        <v>5.0</v>
      </c>
      <c r="F887" s="6">
        <f>IFERROR(__xludf.DUMMYFUNCTION("""COMPUTED_VALUE"""),1.32231700000011)</f>
        <v>1.322317</v>
      </c>
    </row>
    <row r="888">
      <c r="A888" s="6" t="str">
        <f t="shared" si="5"/>
        <v>P5</v>
      </c>
      <c r="B888" s="2">
        <v>104.0</v>
      </c>
      <c r="C888" s="2" t="s">
        <v>531</v>
      </c>
      <c r="D888" s="2" t="s">
        <v>17</v>
      </c>
      <c r="E888" s="2">
        <v>10.0</v>
      </c>
      <c r="F888" s="6">
        <f>IFERROR(__xludf.DUMMYFUNCTION("""COMPUTED_VALUE"""),1.60833989999991)</f>
        <v>1.6083399</v>
      </c>
    </row>
    <row r="889">
      <c r="A889" s="6" t="str">
        <f t="shared" si="5"/>
        <v>P5</v>
      </c>
      <c r="B889" s="2">
        <v>105.0</v>
      </c>
      <c r="C889" s="2" t="s">
        <v>536</v>
      </c>
      <c r="D889" s="2" t="s">
        <v>17</v>
      </c>
      <c r="E889" s="2">
        <v>10.0</v>
      </c>
      <c r="F889" s="6">
        <f>IFERROR(__xludf.DUMMYFUNCTION("""COMPUTED_VALUE"""),1.82671430000118)</f>
        <v>1.8267143</v>
      </c>
    </row>
    <row r="890">
      <c r="A890" s="6" t="str">
        <f t="shared" si="5"/>
        <v>P5</v>
      </c>
      <c r="B890" s="2">
        <v>106.0</v>
      </c>
      <c r="C890" s="2" t="s">
        <v>541</v>
      </c>
      <c r="D890" s="2" t="s">
        <v>17</v>
      </c>
      <c r="E890" s="2">
        <v>10.0</v>
      </c>
      <c r="F890" s="6">
        <f>IFERROR(__xludf.DUMMYFUNCTION("""COMPUTED_VALUE"""),1.69486649999998)</f>
        <v>1.6948665</v>
      </c>
    </row>
    <row r="891">
      <c r="A891" s="6" t="str">
        <f t="shared" si="5"/>
        <v>P5</v>
      </c>
      <c r="B891" s="2">
        <v>107.0</v>
      </c>
      <c r="C891" s="2" t="s">
        <v>546</v>
      </c>
      <c r="D891" s="2" t="s">
        <v>17</v>
      </c>
      <c r="E891" s="2">
        <v>5.0</v>
      </c>
      <c r="F891" s="6">
        <f>IFERROR(__xludf.DUMMYFUNCTION("""COMPUTED_VALUE"""),1.56790639999962)</f>
        <v>1.5679064</v>
      </c>
    </row>
    <row r="892">
      <c r="A892" s="6" t="str">
        <f t="shared" si="5"/>
        <v>P5</v>
      </c>
      <c r="B892" s="2">
        <v>108.0</v>
      </c>
      <c r="C892" s="2" t="s">
        <v>551</v>
      </c>
      <c r="D892" s="2" t="s">
        <v>17</v>
      </c>
      <c r="E892" s="2">
        <v>5.0</v>
      </c>
      <c r="F892" s="6">
        <f>IFERROR(__xludf.DUMMYFUNCTION("""COMPUTED_VALUE"""),1.61085810000076)</f>
        <v>1.6108581</v>
      </c>
    </row>
    <row r="893">
      <c r="A893" s="6" t="str">
        <f t="shared" si="5"/>
        <v>P5</v>
      </c>
      <c r="B893" s="2">
        <v>109.0</v>
      </c>
      <c r="C893" s="2" t="s">
        <v>556</v>
      </c>
      <c r="D893" s="2" t="s">
        <v>17</v>
      </c>
      <c r="E893" s="2">
        <v>5.0</v>
      </c>
      <c r="F893" s="6">
        <f>IFERROR(__xludf.DUMMYFUNCTION("""COMPUTED_VALUE"""),1.89899749999858)</f>
        <v>1.8989975</v>
      </c>
    </row>
    <row r="894">
      <c r="A894" s="6" t="str">
        <f t="shared" si="5"/>
        <v>P5</v>
      </c>
      <c r="B894" s="2">
        <v>110.0</v>
      </c>
      <c r="C894" s="2" t="s">
        <v>561</v>
      </c>
      <c r="D894" s="2" t="s">
        <v>17</v>
      </c>
      <c r="E894" s="2">
        <v>10.0</v>
      </c>
      <c r="F894" s="6">
        <f>IFERROR(__xludf.DUMMYFUNCTION("""COMPUTED_VALUE"""),1.42489779999959)</f>
        <v>1.4248978</v>
      </c>
    </row>
    <row r="895">
      <c r="A895" s="6" t="str">
        <f t="shared" si="5"/>
        <v>P5</v>
      </c>
      <c r="B895" s="2">
        <v>111.0</v>
      </c>
      <c r="C895" s="2" t="s">
        <v>566</v>
      </c>
      <c r="D895" s="2" t="s">
        <v>17</v>
      </c>
      <c r="E895" s="2">
        <v>10.0</v>
      </c>
      <c r="F895" s="6">
        <f>IFERROR(__xludf.DUMMYFUNCTION("""COMPUTED_VALUE"""),1.89081729999998)</f>
        <v>1.8908173</v>
      </c>
    </row>
    <row r="896">
      <c r="A896" s="6" t="str">
        <f t="shared" si="5"/>
        <v>P5</v>
      </c>
      <c r="B896" s="2">
        <v>112.0</v>
      </c>
      <c r="C896" s="2" t="s">
        <v>571</v>
      </c>
      <c r="D896" s="2" t="s">
        <v>17</v>
      </c>
      <c r="E896" s="2">
        <v>5.0</v>
      </c>
      <c r="F896" s="6">
        <f>IFERROR(__xludf.DUMMYFUNCTION("""COMPUTED_VALUE"""),1.6783432000011)</f>
        <v>1.6783432</v>
      </c>
    </row>
    <row r="897">
      <c r="A897" s="6" t="str">
        <f t="shared" si="5"/>
        <v>P5</v>
      </c>
      <c r="B897" s="2">
        <v>113.0</v>
      </c>
      <c r="C897" s="2" t="s">
        <v>576</v>
      </c>
      <c r="D897" s="2" t="s">
        <v>17</v>
      </c>
      <c r="E897" s="2">
        <v>5.0</v>
      </c>
      <c r="F897" s="6">
        <f>IFERROR(__xludf.DUMMYFUNCTION("""COMPUTED_VALUE"""),1.39851240000098)</f>
        <v>1.3985124</v>
      </c>
    </row>
    <row r="898">
      <c r="A898" s="6" t="str">
        <f t="shared" si="5"/>
        <v>P5</v>
      </c>
      <c r="B898" s="2">
        <v>114.0</v>
      </c>
      <c r="C898" s="2" t="s">
        <v>581</v>
      </c>
      <c r="D898" s="2" t="s">
        <v>17</v>
      </c>
      <c r="E898" s="2">
        <v>5.0</v>
      </c>
      <c r="F898" s="6">
        <f>IFERROR(__xludf.DUMMYFUNCTION("""COMPUTED_VALUE"""),1.46427289999883)</f>
        <v>1.4642729</v>
      </c>
    </row>
    <row r="899">
      <c r="A899" s="6" t="str">
        <f t="shared" si="5"/>
        <v>P5</v>
      </c>
      <c r="B899" s="2">
        <v>115.0</v>
      </c>
      <c r="C899" s="2" t="s">
        <v>585</v>
      </c>
      <c r="D899" s="2" t="s">
        <v>17</v>
      </c>
      <c r="E899" s="2">
        <v>5.0</v>
      </c>
      <c r="F899" s="6">
        <f>IFERROR(__xludf.DUMMYFUNCTION("""COMPUTED_VALUE"""),1.37527930000032)</f>
        <v>1.3752793</v>
      </c>
    </row>
    <row r="900">
      <c r="A900" s="6" t="str">
        <f t="shared" si="5"/>
        <v>P5</v>
      </c>
      <c r="B900" s="2">
        <v>116.0</v>
      </c>
      <c r="C900" s="2" t="s">
        <v>590</v>
      </c>
      <c r="D900" s="2" t="s">
        <v>17</v>
      </c>
      <c r="E900" s="2">
        <v>5.0</v>
      </c>
      <c r="F900" s="6">
        <f>IFERROR(__xludf.DUMMYFUNCTION("""COMPUTED_VALUE"""),1.52826679999998)</f>
        <v>1.5282668</v>
      </c>
    </row>
    <row r="901">
      <c r="A901" s="6" t="str">
        <f t="shared" si="5"/>
        <v>P5</v>
      </c>
      <c r="B901" s="2">
        <v>117.0</v>
      </c>
      <c r="C901" s="2" t="s">
        <v>595</v>
      </c>
      <c r="D901" s="2" t="s">
        <v>17</v>
      </c>
      <c r="E901" s="2">
        <v>5.0</v>
      </c>
      <c r="F901" s="6">
        <f>IFERROR(__xludf.DUMMYFUNCTION("""COMPUTED_VALUE"""),1.55408999999963)</f>
        <v>1.55409</v>
      </c>
    </row>
    <row r="902">
      <c r="A902" s="6" t="str">
        <f t="shared" si="5"/>
        <v>P5</v>
      </c>
      <c r="B902" s="2">
        <v>118.0</v>
      </c>
      <c r="C902" s="2" t="s">
        <v>600</v>
      </c>
      <c r="D902" s="2" t="s">
        <v>17</v>
      </c>
      <c r="E902" s="2">
        <v>5.0</v>
      </c>
      <c r="F902" s="6">
        <f>IFERROR(__xludf.DUMMYFUNCTION("""COMPUTED_VALUE"""),1.38405659999989)</f>
        <v>1.3840566</v>
      </c>
    </row>
    <row r="903">
      <c r="A903" s="6" t="str">
        <f t="shared" si="5"/>
        <v>P5</v>
      </c>
      <c r="B903" s="2">
        <v>119.0</v>
      </c>
      <c r="C903" s="2" t="s">
        <v>605</v>
      </c>
      <c r="D903" s="2" t="s">
        <v>17</v>
      </c>
      <c r="E903" s="2">
        <v>5.0</v>
      </c>
      <c r="F903" s="6">
        <f>IFERROR(__xludf.DUMMYFUNCTION("""COMPUTED_VALUE"""),1.68978240000069)</f>
        <v>1.6897824</v>
      </c>
    </row>
    <row r="904">
      <c r="A904" s="6" t="str">
        <f t="shared" si="5"/>
        <v>P5</v>
      </c>
      <c r="B904" s="2">
        <v>120.0</v>
      </c>
      <c r="C904" s="2" t="s">
        <v>610</v>
      </c>
      <c r="D904" s="2" t="s">
        <v>17</v>
      </c>
      <c r="E904" s="2">
        <v>5.0</v>
      </c>
      <c r="F904" s="6">
        <f>IFERROR(__xludf.DUMMYFUNCTION("""COMPUTED_VALUE"""),2.01686270000027)</f>
        <v>2.0168627</v>
      </c>
    </row>
    <row r="905">
      <c r="A905" s="6" t="str">
        <f t="shared" si="5"/>
        <v>P5</v>
      </c>
      <c r="B905" s="2">
        <v>121.0</v>
      </c>
      <c r="C905" s="2" t="s">
        <v>615</v>
      </c>
      <c r="D905" s="2" t="s">
        <v>17</v>
      </c>
      <c r="E905" s="2">
        <v>5.0</v>
      </c>
      <c r="F905" s="6">
        <f>IFERROR(__xludf.DUMMYFUNCTION("""COMPUTED_VALUE"""),2.12653090000094)</f>
        <v>2.1265309</v>
      </c>
    </row>
    <row r="906">
      <c r="A906" s="6" t="str">
        <f t="shared" si="5"/>
        <v>P5</v>
      </c>
      <c r="B906" s="2">
        <v>122.0</v>
      </c>
      <c r="C906" s="2" t="s">
        <v>620</v>
      </c>
      <c r="D906" s="2" t="s">
        <v>17</v>
      </c>
      <c r="E906" s="2">
        <v>10.0</v>
      </c>
      <c r="F906" s="6">
        <f>IFERROR(__xludf.DUMMYFUNCTION("""COMPUTED_VALUE"""),1.28544780000083)</f>
        <v>1.2854478</v>
      </c>
    </row>
    <row r="907">
      <c r="A907" s="6" t="str">
        <f t="shared" si="5"/>
        <v>P5</v>
      </c>
      <c r="B907" s="2">
        <v>123.0</v>
      </c>
      <c r="C907" s="2" t="s">
        <v>625</v>
      </c>
      <c r="D907" s="2" t="s">
        <v>17</v>
      </c>
      <c r="E907" s="2">
        <v>5.0</v>
      </c>
      <c r="F907" s="6">
        <f>IFERROR(__xludf.DUMMYFUNCTION("""COMPUTED_VALUE"""),1.48734349999904)</f>
        <v>1.4873435</v>
      </c>
    </row>
    <row r="908">
      <c r="A908" s="6" t="str">
        <f t="shared" si="5"/>
        <v>P5</v>
      </c>
      <c r="B908" s="2">
        <v>124.0</v>
      </c>
      <c r="C908" s="2" t="s">
        <v>630</v>
      </c>
      <c r="D908" s="2" t="s">
        <v>17</v>
      </c>
      <c r="E908" s="2">
        <v>10.0</v>
      </c>
      <c r="F908" s="6">
        <f>IFERROR(__xludf.DUMMYFUNCTION("""COMPUTED_VALUE"""),1.92641159999948)</f>
        <v>1.9264116</v>
      </c>
    </row>
    <row r="909">
      <c r="A909" s="6" t="str">
        <f t="shared" si="5"/>
        <v>P5</v>
      </c>
      <c r="B909" s="2">
        <v>125.0</v>
      </c>
      <c r="C909" s="2" t="s">
        <v>635</v>
      </c>
      <c r="D909" s="2" t="s">
        <v>17</v>
      </c>
      <c r="E909" s="2">
        <v>5.0</v>
      </c>
      <c r="F909" s="6">
        <f>IFERROR(__xludf.DUMMYFUNCTION("""COMPUTED_VALUE"""),1.1572572999994)</f>
        <v>1.1572573</v>
      </c>
    </row>
    <row r="910">
      <c r="A910" s="6" t="str">
        <f t="shared" si="5"/>
        <v>P5</v>
      </c>
      <c r="B910" s="2">
        <v>126.0</v>
      </c>
      <c r="C910" s="2" t="s">
        <v>640</v>
      </c>
      <c r="D910" s="2" t="s">
        <v>17</v>
      </c>
      <c r="E910" s="2">
        <v>10.0</v>
      </c>
      <c r="F910" s="6">
        <f>IFERROR(__xludf.DUMMYFUNCTION("""COMPUTED_VALUE"""),1.60580449999906)</f>
        <v>1.6058045</v>
      </c>
    </row>
    <row r="911">
      <c r="A911" s="6" t="str">
        <f t="shared" si="5"/>
        <v>P5</v>
      </c>
      <c r="B911" s="2">
        <v>127.0</v>
      </c>
      <c r="C911" s="2" t="s">
        <v>645</v>
      </c>
      <c r="D911" s="2" t="s">
        <v>17</v>
      </c>
      <c r="E911" s="2">
        <v>10.0</v>
      </c>
      <c r="F911" s="6">
        <f>IFERROR(__xludf.DUMMYFUNCTION("""COMPUTED_VALUE"""),2.76168270000016)</f>
        <v>2.7616827</v>
      </c>
    </row>
    <row r="912">
      <c r="A912" s="6" t="str">
        <f t="shared" si="5"/>
        <v>P5</v>
      </c>
      <c r="B912" s="2">
        <v>128.0</v>
      </c>
      <c r="C912" s="2" t="s">
        <v>650</v>
      </c>
      <c r="D912" s="2" t="s">
        <v>17</v>
      </c>
      <c r="E912" s="2">
        <v>10.0</v>
      </c>
      <c r="F912" s="6">
        <f>IFERROR(__xludf.DUMMYFUNCTION("""COMPUTED_VALUE"""),2.41271050000068)</f>
        <v>2.4127105</v>
      </c>
    </row>
    <row r="913">
      <c r="A913" s="6" t="str">
        <f t="shared" si="5"/>
        <v>P5</v>
      </c>
      <c r="B913" s="2">
        <v>129.0</v>
      </c>
      <c r="C913" s="2" t="s">
        <v>655</v>
      </c>
      <c r="D913" s="2" t="s">
        <v>17</v>
      </c>
      <c r="E913" s="2">
        <v>5.0</v>
      </c>
      <c r="F913" s="6">
        <f>IFERROR(__xludf.DUMMYFUNCTION("""COMPUTED_VALUE"""),1.35524580000128)</f>
        <v>1.3552458</v>
      </c>
    </row>
    <row r="914">
      <c r="A914" s="6" t="str">
        <f t="shared" si="5"/>
        <v>P5</v>
      </c>
      <c r="B914" s="2">
        <v>130.0</v>
      </c>
      <c r="C914" s="2" t="s">
        <v>660</v>
      </c>
      <c r="D914" s="2" t="s">
        <v>17</v>
      </c>
      <c r="E914" s="2">
        <v>5.0</v>
      </c>
      <c r="F914" s="6">
        <f>IFERROR(__xludf.DUMMYFUNCTION("""COMPUTED_VALUE"""),1.48968310000054)</f>
        <v>1.4896831</v>
      </c>
    </row>
    <row r="915">
      <c r="A915" s="6" t="str">
        <f t="shared" si="5"/>
        <v>P5</v>
      </c>
      <c r="B915" s="2">
        <v>131.0</v>
      </c>
      <c r="C915" s="2" t="s">
        <v>665</v>
      </c>
      <c r="D915" s="2" t="s">
        <v>17</v>
      </c>
      <c r="E915" s="2">
        <v>5.0</v>
      </c>
      <c r="F915" s="6">
        <f>IFERROR(__xludf.DUMMYFUNCTION("""COMPUTED_VALUE"""),1.21885850000035)</f>
        <v>1.2188585</v>
      </c>
    </row>
    <row r="916">
      <c r="A916" s="6" t="str">
        <f t="shared" si="5"/>
        <v>P5</v>
      </c>
      <c r="B916" s="2">
        <v>132.0</v>
      </c>
      <c r="C916" s="2" t="s">
        <v>670</v>
      </c>
      <c r="D916" s="2" t="s">
        <v>17</v>
      </c>
      <c r="E916" s="2">
        <v>10.0</v>
      </c>
      <c r="F916" s="6">
        <f>IFERROR(__xludf.DUMMYFUNCTION("""COMPUTED_VALUE"""),1.62518009999985)</f>
        <v>1.6251801</v>
      </c>
    </row>
    <row r="917">
      <c r="A917" s="6" t="str">
        <f t="shared" si="5"/>
        <v>P5</v>
      </c>
      <c r="B917" s="2">
        <v>133.0</v>
      </c>
      <c r="C917" s="2" t="s">
        <v>675</v>
      </c>
      <c r="D917" s="2" t="s">
        <v>17</v>
      </c>
      <c r="E917" s="2">
        <v>10.0</v>
      </c>
      <c r="F917" s="6">
        <f>IFERROR(__xludf.DUMMYFUNCTION("""COMPUTED_VALUE"""),1.48097910000069)</f>
        <v>1.4809791</v>
      </c>
    </row>
    <row r="918">
      <c r="A918" s="6" t="str">
        <f t="shared" si="5"/>
        <v>P5</v>
      </c>
      <c r="B918" s="2">
        <v>134.0</v>
      </c>
      <c r="C918" s="2" t="s">
        <v>680</v>
      </c>
      <c r="D918" s="2" t="s">
        <v>17</v>
      </c>
      <c r="E918" s="2">
        <v>10.0</v>
      </c>
      <c r="F918" s="6">
        <f>IFERROR(__xludf.DUMMYFUNCTION("""COMPUTED_VALUE"""),1.37735199999951)</f>
        <v>1.377352</v>
      </c>
    </row>
    <row r="919">
      <c r="A919" s="6" t="str">
        <f t="shared" si="5"/>
        <v>P5</v>
      </c>
      <c r="B919" s="2">
        <v>135.0</v>
      </c>
      <c r="C919" s="2" t="s">
        <v>685</v>
      </c>
      <c r="D919" s="2" t="s">
        <v>17</v>
      </c>
      <c r="E919" s="2">
        <v>10.0</v>
      </c>
      <c r="F919" s="6">
        <f>IFERROR(__xludf.DUMMYFUNCTION("""COMPUTED_VALUE"""),1.32467889999861)</f>
        <v>1.3246789</v>
      </c>
    </row>
    <row r="920">
      <c r="A920" s="6" t="str">
        <f t="shared" si="5"/>
        <v>P5</v>
      </c>
      <c r="B920" s="2">
        <v>136.0</v>
      </c>
      <c r="C920" s="2" t="s">
        <v>690</v>
      </c>
      <c r="D920" s="2" t="s">
        <v>17</v>
      </c>
      <c r="E920" s="2">
        <v>5.0</v>
      </c>
      <c r="F920" s="6">
        <f>IFERROR(__xludf.DUMMYFUNCTION("""COMPUTED_VALUE"""),1.75592330000108)</f>
        <v>1.7559233</v>
      </c>
    </row>
    <row r="921">
      <c r="A921" s="6" t="str">
        <f t="shared" si="5"/>
        <v>P5</v>
      </c>
      <c r="B921" s="2">
        <v>137.0</v>
      </c>
      <c r="C921" s="2" t="s">
        <v>695</v>
      </c>
      <c r="D921" s="2" t="s">
        <v>17</v>
      </c>
      <c r="E921" s="2">
        <v>5.0</v>
      </c>
      <c r="F921" s="6">
        <f>IFERROR(__xludf.DUMMYFUNCTION("""COMPUTED_VALUE"""),1.2728962000001)</f>
        <v>1.2728962</v>
      </c>
    </row>
    <row r="922">
      <c r="A922" s="6" t="str">
        <f t="shared" si="5"/>
        <v>P5</v>
      </c>
      <c r="B922" s="2">
        <v>138.0</v>
      </c>
      <c r="C922" s="2" t="s">
        <v>700</v>
      </c>
      <c r="D922" s="2" t="s">
        <v>17</v>
      </c>
      <c r="E922" s="2">
        <v>10.0</v>
      </c>
      <c r="F922" s="6">
        <f>IFERROR(__xludf.DUMMYFUNCTION("""COMPUTED_VALUE"""),1.95342629999868)</f>
        <v>1.9534263</v>
      </c>
    </row>
    <row r="923">
      <c r="A923" s="6" t="str">
        <f t="shared" si="5"/>
        <v>P5</v>
      </c>
      <c r="B923" s="2">
        <v>139.0</v>
      </c>
      <c r="C923" s="2" t="s">
        <v>705</v>
      </c>
      <c r="D923" s="2" t="s">
        <v>17</v>
      </c>
      <c r="E923" s="2">
        <v>10.0</v>
      </c>
      <c r="F923" s="6">
        <f>IFERROR(__xludf.DUMMYFUNCTION("""COMPUTED_VALUE"""),1.78112370000053)</f>
        <v>1.7811237</v>
      </c>
    </row>
    <row r="924">
      <c r="A924" s="6" t="str">
        <f t="shared" si="5"/>
        <v>P5</v>
      </c>
      <c r="B924" s="2">
        <v>140.0</v>
      </c>
      <c r="C924" s="2" t="s">
        <v>710</v>
      </c>
      <c r="D924" s="2" t="s">
        <v>17</v>
      </c>
      <c r="E924" s="2">
        <v>10.0</v>
      </c>
      <c r="F924" s="6">
        <f>IFERROR(__xludf.DUMMYFUNCTION("""COMPUTED_VALUE"""),1.46780209999997)</f>
        <v>1.4678021</v>
      </c>
    </row>
    <row r="925">
      <c r="A925" s="6" t="str">
        <f t="shared" si="5"/>
        <v>P5</v>
      </c>
      <c r="B925" s="2">
        <v>141.0</v>
      </c>
      <c r="C925" s="2" t="s">
        <v>715</v>
      </c>
      <c r="D925" s="2" t="s">
        <v>17</v>
      </c>
      <c r="E925" s="2">
        <v>5.0</v>
      </c>
      <c r="F925" s="6">
        <f>IFERROR(__xludf.DUMMYFUNCTION("""COMPUTED_VALUE"""),1.20567619999928)</f>
        <v>1.2056762</v>
      </c>
    </row>
    <row r="926">
      <c r="A926" s="6" t="str">
        <f t="shared" si="5"/>
        <v>P5</v>
      </c>
      <c r="B926" s="2">
        <v>142.0</v>
      </c>
      <c r="C926" s="2" t="s">
        <v>720</v>
      </c>
      <c r="D926" s="2" t="s">
        <v>17</v>
      </c>
      <c r="E926" s="2">
        <v>5.0</v>
      </c>
      <c r="F926" s="6">
        <f>IFERROR(__xludf.DUMMYFUNCTION("""COMPUTED_VALUE"""),1.4058326000013)</f>
        <v>1.4058326</v>
      </c>
    </row>
    <row r="927">
      <c r="A927" s="6" t="str">
        <f t="shared" si="5"/>
        <v>P5</v>
      </c>
      <c r="B927" s="2">
        <v>143.0</v>
      </c>
      <c r="C927" s="2" t="s">
        <v>724</v>
      </c>
      <c r="D927" s="2" t="s">
        <v>17</v>
      </c>
      <c r="E927" s="2">
        <v>10.0</v>
      </c>
      <c r="F927" s="6">
        <f>IFERROR(__xludf.DUMMYFUNCTION("""COMPUTED_VALUE"""),2.25495910000063)</f>
        <v>2.2549591</v>
      </c>
    </row>
    <row r="928">
      <c r="A928" s="6" t="str">
        <f t="shared" si="5"/>
        <v>P5</v>
      </c>
      <c r="B928" s="2">
        <v>144.0</v>
      </c>
      <c r="C928" s="2" t="s">
        <v>729</v>
      </c>
      <c r="D928" s="2" t="s">
        <v>17</v>
      </c>
      <c r="E928" s="2">
        <v>5.0</v>
      </c>
      <c r="F928" s="6">
        <f>IFERROR(__xludf.DUMMYFUNCTION("""COMPUTED_VALUE"""),1.35404700000071)</f>
        <v>1.354047</v>
      </c>
    </row>
    <row r="929">
      <c r="A929" s="6" t="str">
        <f t="shared" si="5"/>
        <v>P5</v>
      </c>
      <c r="B929" s="2">
        <v>145.0</v>
      </c>
      <c r="C929" s="2" t="s">
        <v>734</v>
      </c>
      <c r="D929" s="2" t="s">
        <v>17</v>
      </c>
      <c r="E929" s="2">
        <v>5.0</v>
      </c>
      <c r="F929" s="6">
        <f>IFERROR(__xludf.DUMMYFUNCTION("""COMPUTED_VALUE"""),1.61497899999994)</f>
        <v>1.614979</v>
      </c>
    </row>
    <row r="930">
      <c r="A930" s="6" t="str">
        <f t="shared" si="5"/>
        <v>P5</v>
      </c>
      <c r="B930" s="2">
        <v>146.0</v>
      </c>
      <c r="C930" s="2" t="s">
        <v>739</v>
      </c>
      <c r="D930" s="2" t="s">
        <v>17</v>
      </c>
      <c r="E930" s="2">
        <v>5.0</v>
      </c>
      <c r="F930" s="6">
        <f>IFERROR(__xludf.DUMMYFUNCTION("""COMPUTED_VALUE"""),2.22038509999947)</f>
        <v>2.2203851</v>
      </c>
    </row>
    <row r="931">
      <c r="A931" s="6" t="str">
        <f t="shared" si="5"/>
        <v>P5</v>
      </c>
      <c r="B931" s="2">
        <v>147.0</v>
      </c>
      <c r="C931" s="2" t="s">
        <v>744</v>
      </c>
      <c r="D931" s="2" t="s">
        <v>17</v>
      </c>
      <c r="E931" s="2">
        <v>10.0</v>
      </c>
      <c r="F931" s="6">
        <f>IFERROR(__xludf.DUMMYFUNCTION("""COMPUTED_VALUE"""),1.84020170000076)</f>
        <v>1.8402017</v>
      </c>
    </row>
    <row r="932">
      <c r="A932" s="6" t="str">
        <f t="shared" si="5"/>
        <v>P5</v>
      </c>
      <c r="B932" s="2">
        <v>148.0</v>
      </c>
      <c r="C932" s="2" t="s">
        <v>749</v>
      </c>
      <c r="D932" s="2" t="s">
        <v>17</v>
      </c>
      <c r="E932" s="2">
        <v>5.0</v>
      </c>
      <c r="F932" s="6">
        <f>IFERROR(__xludf.DUMMYFUNCTION("""COMPUTED_VALUE"""),1.60677360000045)</f>
        <v>1.6067736</v>
      </c>
    </row>
    <row r="933">
      <c r="A933" s="6" t="str">
        <f t="shared" si="5"/>
        <v>P5</v>
      </c>
      <c r="B933" s="2">
        <v>149.0</v>
      </c>
      <c r="C933" s="2" t="s">
        <v>754</v>
      </c>
      <c r="D933" s="2" t="s">
        <v>17</v>
      </c>
      <c r="E933" s="2">
        <v>5.0</v>
      </c>
      <c r="F933" s="6">
        <f>IFERROR(__xludf.DUMMYFUNCTION("""COMPUTED_VALUE"""),1.34876270000131)</f>
        <v>1.3487627</v>
      </c>
    </row>
    <row r="934">
      <c r="A934" s="6" t="str">
        <f t="shared" si="5"/>
        <v>P5</v>
      </c>
      <c r="B934" s="2">
        <v>150.0</v>
      </c>
      <c r="C934" s="2" t="s">
        <v>758</v>
      </c>
      <c r="D934" s="2" t="s">
        <v>17</v>
      </c>
      <c r="E934" s="2">
        <v>5.0</v>
      </c>
      <c r="F934" s="6">
        <f>IFERROR(__xludf.DUMMYFUNCTION("""COMPUTED_VALUE"""),1.51923600000009)</f>
        <v>1.519236</v>
      </c>
    </row>
    <row r="935">
      <c r="A935" s="6" t="str">
        <f t="shared" si="5"/>
        <v>P5</v>
      </c>
      <c r="B935" s="2">
        <v>151.0</v>
      </c>
      <c r="C935" s="2" t="s">
        <v>763</v>
      </c>
      <c r="D935" s="2" t="s">
        <v>17</v>
      </c>
      <c r="E935" s="2">
        <v>5.0</v>
      </c>
      <c r="F935" s="6">
        <f>IFERROR(__xludf.DUMMYFUNCTION("""COMPUTED_VALUE"""),1.62408870000035)</f>
        <v>1.6240887</v>
      </c>
    </row>
    <row r="936">
      <c r="A936" s="6" t="str">
        <f t="shared" si="5"/>
        <v>P5</v>
      </c>
      <c r="B936" s="2">
        <v>152.0</v>
      </c>
      <c r="C936" s="2" t="s">
        <v>768</v>
      </c>
      <c r="D936" s="2" t="s">
        <v>17</v>
      </c>
      <c r="E936" s="2">
        <v>5.0</v>
      </c>
      <c r="F936" s="6">
        <f>IFERROR(__xludf.DUMMYFUNCTION("""COMPUTED_VALUE"""),1.58496870000089)</f>
        <v>1.5849687</v>
      </c>
    </row>
    <row r="937">
      <c r="A937" s="6" t="str">
        <f t="shared" si="5"/>
        <v>P5</v>
      </c>
      <c r="B937" s="2">
        <v>153.0</v>
      </c>
      <c r="C937" s="2" t="s">
        <v>773</v>
      </c>
      <c r="D937" s="2" t="s">
        <v>17</v>
      </c>
      <c r="E937" s="2">
        <v>10.0</v>
      </c>
      <c r="F937" s="6">
        <f>IFERROR(__xludf.DUMMYFUNCTION("""COMPUTED_VALUE"""),1.99246700000003)</f>
        <v>1.992467</v>
      </c>
    </row>
    <row r="938">
      <c r="A938" s="6" t="str">
        <f t="shared" si="5"/>
        <v>P5</v>
      </c>
      <c r="B938" s="2">
        <v>154.0</v>
      </c>
      <c r="C938" s="2" t="s">
        <v>778</v>
      </c>
      <c r="D938" s="2" t="s">
        <v>17</v>
      </c>
      <c r="E938" s="2">
        <v>5.0</v>
      </c>
      <c r="F938" s="6">
        <f>IFERROR(__xludf.DUMMYFUNCTION("""COMPUTED_VALUE"""),2.03770409999924)</f>
        <v>2.0377041</v>
      </c>
    </row>
    <row r="939">
      <c r="A939" s="6" t="str">
        <f t="shared" si="5"/>
        <v>P5</v>
      </c>
      <c r="B939" s="2">
        <v>155.0</v>
      </c>
      <c r="C939" s="2" t="s">
        <v>783</v>
      </c>
      <c r="D939" s="2" t="s">
        <v>17</v>
      </c>
      <c r="E939" s="2">
        <v>10.0</v>
      </c>
      <c r="F939" s="6">
        <f>IFERROR(__xludf.DUMMYFUNCTION("""COMPUTED_VALUE"""),2.62486669999998)</f>
        <v>2.6248667</v>
      </c>
    </row>
    <row r="940">
      <c r="A940" s="6" t="str">
        <f t="shared" si="5"/>
        <v>P5</v>
      </c>
      <c r="B940" s="2">
        <v>156.0</v>
      </c>
      <c r="C940" s="2" t="s">
        <v>788</v>
      </c>
      <c r="D940" s="2" t="s">
        <v>17</v>
      </c>
      <c r="E940" s="2">
        <v>10.0</v>
      </c>
      <c r="F940" s="6">
        <f>IFERROR(__xludf.DUMMYFUNCTION("""COMPUTED_VALUE"""),1.01378210000075)</f>
        <v>1.0137821</v>
      </c>
    </row>
    <row r="941">
      <c r="A941" s="6" t="str">
        <f t="shared" si="5"/>
        <v>P5</v>
      </c>
      <c r="B941" s="2">
        <v>157.0</v>
      </c>
      <c r="C941" s="2" t="s">
        <v>793</v>
      </c>
      <c r="D941" s="2" t="s">
        <v>17</v>
      </c>
      <c r="E941" s="2">
        <v>5.0</v>
      </c>
      <c r="F941" s="6">
        <f>IFERROR(__xludf.DUMMYFUNCTION("""COMPUTED_VALUE"""),1.79954419999921)</f>
        <v>1.7995442</v>
      </c>
    </row>
    <row r="942">
      <c r="A942" s="6" t="str">
        <f t="shared" si="5"/>
        <v>P5</v>
      </c>
      <c r="B942" s="2">
        <v>158.0</v>
      </c>
      <c r="C942" s="2" t="s">
        <v>798</v>
      </c>
      <c r="D942" s="2" t="s">
        <v>17</v>
      </c>
      <c r="E942" s="2">
        <v>10.0</v>
      </c>
      <c r="F942" s="6">
        <f>IFERROR(__xludf.DUMMYFUNCTION("""COMPUTED_VALUE"""),1.47681290000036)</f>
        <v>1.4768129</v>
      </c>
    </row>
    <row r="943">
      <c r="A943" s="6" t="str">
        <f t="shared" si="5"/>
        <v>P5</v>
      </c>
      <c r="B943" s="2">
        <v>159.0</v>
      </c>
      <c r="C943" s="2" t="s">
        <v>803</v>
      </c>
      <c r="D943" s="2" t="s">
        <v>17</v>
      </c>
      <c r="E943" s="2">
        <v>10.0</v>
      </c>
      <c r="F943" s="6">
        <f>IFERROR(__xludf.DUMMYFUNCTION("""COMPUTED_VALUE"""),1.87531769999986)</f>
        <v>1.8753177</v>
      </c>
    </row>
    <row r="944">
      <c r="A944" s="6" t="str">
        <f t="shared" si="5"/>
        <v>P5</v>
      </c>
      <c r="B944" s="2">
        <v>160.0</v>
      </c>
      <c r="C944" s="2" t="s">
        <v>808</v>
      </c>
      <c r="D944" s="2" t="s">
        <v>17</v>
      </c>
      <c r="E944" s="2">
        <v>10.0</v>
      </c>
      <c r="F944" s="6">
        <f>IFERROR(__xludf.DUMMYFUNCTION("""COMPUTED_VALUE"""),1.96242239999992)</f>
        <v>1.9624224</v>
      </c>
    </row>
    <row r="945">
      <c r="A945" s="6" t="str">
        <f t="shared" si="5"/>
        <v>P5</v>
      </c>
      <c r="B945" s="2">
        <v>161.0</v>
      </c>
      <c r="C945" s="2" t="s">
        <v>812</v>
      </c>
      <c r="D945" s="2" t="s">
        <v>17</v>
      </c>
      <c r="E945" s="2">
        <v>5.0</v>
      </c>
      <c r="F945" s="6">
        <f>IFERROR(__xludf.DUMMYFUNCTION("""COMPUTED_VALUE"""),1.42796450000059)</f>
        <v>1.4279645</v>
      </c>
    </row>
    <row r="946">
      <c r="A946" s="6" t="str">
        <f t="shared" si="5"/>
        <v>P5</v>
      </c>
      <c r="B946" s="2">
        <v>162.0</v>
      </c>
      <c r="C946" s="2" t="s">
        <v>817</v>
      </c>
      <c r="D946" s="2" t="s">
        <v>17</v>
      </c>
      <c r="E946" s="2">
        <v>5.0</v>
      </c>
      <c r="F946" s="6">
        <f>IFERROR(__xludf.DUMMYFUNCTION("""COMPUTED_VALUE"""),1.31363020000026)</f>
        <v>1.3136302</v>
      </c>
    </row>
    <row r="947">
      <c r="A947" s="6" t="str">
        <f t="shared" si="5"/>
        <v>P5</v>
      </c>
      <c r="B947" s="2">
        <v>163.0</v>
      </c>
      <c r="C947" s="2" t="s">
        <v>822</v>
      </c>
      <c r="D947" s="2" t="s">
        <v>17</v>
      </c>
      <c r="E947" s="2">
        <v>5.0</v>
      </c>
      <c r="F947" s="6">
        <f>IFERROR(__xludf.DUMMYFUNCTION("""COMPUTED_VALUE"""),1.51868060000015)</f>
        <v>1.5186806</v>
      </c>
    </row>
    <row r="948">
      <c r="A948" s="6" t="str">
        <f t="shared" si="5"/>
        <v>P5</v>
      </c>
      <c r="B948" s="2">
        <v>164.0</v>
      </c>
      <c r="C948" s="2" t="s">
        <v>827</v>
      </c>
      <c r="D948" s="2" t="s">
        <v>17</v>
      </c>
      <c r="E948" s="2">
        <v>5.0</v>
      </c>
      <c r="F948" s="6">
        <f>IFERROR(__xludf.DUMMYFUNCTION("""COMPUTED_VALUE"""),1.28929779999998)</f>
        <v>1.2892978</v>
      </c>
    </row>
    <row r="949">
      <c r="A949" s="6" t="str">
        <f t="shared" si="5"/>
        <v>P5</v>
      </c>
      <c r="B949" s="2">
        <v>165.0</v>
      </c>
      <c r="C949" s="2" t="s">
        <v>832</v>
      </c>
      <c r="D949" s="2" t="s">
        <v>17</v>
      </c>
      <c r="E949" s="2">
        <v>5.0</v>
      </c>
      <c r="F949" s="6">
        <f>IFERROR(__xludf.DUMMYFUNCTION("""COMPUTED_VALUE"""),1.73611799999889)</f>
        <v>1.736118</v>
      </c>
    </row>
    <row r="950">
      <c r="A950" s="6" t="str">
        <f t="shared" si="5"/>
        <v>P5</v>
      </c>
      <c r="B950" s="2">
        <v>166.0</v>
      </c>
      <c r="C950" s="2" t="s">
        <v>837</v>
      </c>
      <c r="D950" s="2" t="s">
        <v>17</v>
      </c>
      <c r="E950" s="2">
        <v>5.0</v>
      </c>
      <c r="F950" s="6">
        <f>IFERROR(__xludf.DUMMYFUNCTION("""COMPUTED_VALUE"""),1.10537669999939)</f>
        <v>1.1053767</v>
      </c>
    </row>
    <row r="951">
      <c r="A951" s="6" t="str">
        <f t="shared" si="5"/>
        <v>P5</v>
      </c>
      <c r="B951" s="2">
        <v>167.0</v>
      </c>
      <c r="C951" s="2" t="s">
        <v>841</v>
      </c>
      <c r="D951" s="2" t="s">
        <v>17</v>
      </c>
      <c r="E951" s="2">
        <v>5.0</v>
      </c>
      <c r="F951" s="6">
        <f>IFERROR(__xludf.DUMMYFUNCTION("""COMPUTED_VALUE"""),1.71464249999917)</f>
        <v>1.7146425</v>
      </c>
    </row>
    <row r="952">
      <c r="A952" s="6" t="str">
        <f t="shared" si="5"/>
        <v>P5</v>
      </c>
      <c r="B952" s="2">
        <v>168.0</v>
      </c>
      <c r="C952" s="2" t="s">
        <v>845</v>
      </c>
      <c r="D952" s="2" t="s">
        <v>17</v>
      </c>
      <c r="E952" s="2">
        <v>5.0</v>
      </c>
      <c r="F952" s="6">
        <f>IFERROR(__xludf.DUMMYFUNCTION("""COMPUTED_VALUE"""),1.46080249999977)</f>
        <v>1.4608025</v>
      </c>
    </row>
    <row r="953">
      <c r="A953" s="6" t="str">
        <f t="shared" si="5"/>
        <v>P5</v>
      </c>
      <c r="B953" s="2">
        <v>169.0</v>
      </c>
      <c r="C953" s="2" t="s">
        <v>850</v>
      </c>
      <c r="D953" s="2" t="s">
        <v>17</v>
      </c>
      <c r="E953" s="2">
        <v>5.0</v>
      </c>
      <c r="F953" s="6">
        <f>IFERROR(__xludf.DUMMYFUNCTION("""COMPUTED_VALUE"""),1.66559909999887)</f>
        <v>1.6655991</v>
      </c>
    </row>
    <row r="954">
      <c r="A954" s="6" t="str">
        <f t="shared" si="5"/>
        <v>P5</v>
      </c>
      <c r="B954" s="2">
        <v>170.0</v>
      </c>
      <c r="C954" s="2" t="s">
        <v>855</v>
      </c>
      <c r="D954" s="2" t="s">
        <v>17</v>
      </c>
      <c r="E954" s="2">
        <v>10.0</v>
      </c>
      <c r="F954" s="6">
        <f>IFERROR(__xludf.DUMMYFUNCTION("""COMPUTED_VALUE"""),1.75598080000054)</f>
        <v>1.7559808</v>
      </c>
    </row>
    <row r="955">
      <c r="A955" s="6" t="str">
        <f t="shared" si="5"/>
        <v>P5</v>
      </c>
      <c r="B955" s="2">
        <v>171.0</v>
      </c>
      <c r="C955" s="2" t="s">
        <v>860</v>
      </c>
      <c r="D955" s="2" t="s">
        <v>17</v>
      </c>
      <c r="E955" s="2">
        <v>10.0</v>
      </c>
      <c r="F955" s="6">
        <f>IFERROR(__xludf.DUMMYFUNCTION("""COMPUTED_VALUE"""),1.80557739999858)</f>
        <v>1.8055774</v>
      </c>
    </row>
    <row r="956">
      <c r="A956" s="6" t="str">
        <f t="shared" si="5"/>
        <v>P5</v>
      </c>
      <c r="B956" s="2">
        <v>172.0</v>
      </c>
      <c r="C956" s="2" t="s">
        <v>865</v>
      </c>
      <c r="D956" s="2" t="s">
        <v>17</v>
      </c>
      <c r="E956" s="2">
        <v>5.0</v>
      </c>
      <c r="F956" s="6">
        <f>IFERROR(__xludf.DUMMYFUNCTION("""COMPUTED_VALUE"""),3.62443809999967)</f>
        <v>3.6244381</v>
      </c>
    </row>
    <row r="957">
      <c r="A957" s="6" t="str">
        <f t="shared" si="5"/>
        <v>P5</v>
      </c>
      <c r="B957" s="2">
        <v>173.0</v>
      </c>
      <c r="C957" s="2" t="s">
        <v>870</v>
      </c>
      <c r="D957" s="2" t="s">
        <v>17</v>
      </c>
      <c r="E957" s="2">
        <v>5.0</v>
      </c>
      <c r="F957" s="6">
        <f>IFERROR(__xludf.DUMMYFUNCTION("""COMPUTED_VALUE"""),1.31943200000023)</f>
        <v>1.319432</v>
      </c>
    </row>
    <row r="958">
      <c r="A958" s="6" t="str">
        <f t="shared" si="5"/>
        <v>P5</v>
      </c>
      <c r="B958" s="2">
        <v>174.0</v>
      </c>
      <c r="C958" s="2" t="s">
        <v>875</v>
      </c>
      <c r="D958" s="2" t="s">
        <v>17</v>
      </c>
      <c r="E958" s="2">
        <v>10.0</v>
      </c>
      <c r="F958" s="6">
        <f>IFERROR(__xludf.DUMMYFUNCTION("""COMPUTED_VALUE"""),1.97835740000118)</f>
        <v>1.9783574</v>
      </c>
    </row>
    <row r="959">
      <c r="A959" s="6" t="str">
        <f t="shared" si="5"/>
        <v>P5</v>
      </c>
      <c r="B959" s="2">
        <v>175.0</v>
      </c>
      <c r="C959" s="2" t="s">
        <v>880</v>
      </c>
      <c r="D959" s="2" t="s">
        <v>17</v>
      </c>
      <c r="E959" s="2">
        <v>5.0</v>
      </c>
      <c r="F959" s="6">
        <f>IFERROR(__xludf.DUMMYFUNCTION("""COMPUTED_VALUE"""),1.44306200000028)</f>
        <v>1.443062</v>
      </c>
    </row>
    <row r="960">
      <c r="A960" s="6" t="str">
        <f t="shared" si="5"/>
        <v>P5</v>
      </c>
      <c r="B960" s="2">
        <v>176.0</v>
      </c>
      <c r="C960" s="2" t="s">
        <v>885</v>
      </c>
      <c r="D960" s="2" t="s">
        <v>17</v>
      </c>
      <c r="E960" s="2">
        <v>5.0</v>
      </c>
      <c r="F960" s="6">
        <f>IFERROR(__xludf.DUMMYFUNCTION("""COMPUTED_VALUE"""),1.55073730000003)</f>
        <v>1.5507373</v>
      </c>
    </row>
    <row r="961">
      <c r="A961" s="6" t="str">
        <f t="shared" si="5"/>
        <v>P5</v>
      </c>
      <c r="B961" s="2">
        <v>177.0</v>
      </c>
      <c r="C961" s="2" t="s">
        <v>890</v>
      </c>
      <c r="D961" s="2" t="s">
        <v>17</v>
      </c>
      <c r="E961" s="2">
        <v>5.0</v>
      </c>
      <c r="F961" s="6">
        <f>IFERROR(__xludf.DUMMYFUNCTION("""COMPUTED_VALUE"""),1.4849723999996)</f>
        <v>1.4849724</v>
      </c>
    </row>
    <row r="962">
      <c r="A962" s="6" t="str">
        <f t="shared" si="5"/>
        <v>P5</v>
      </c>
      <c r="B962" s="2">
        <v>178.0</v>
      </c>
      <c r="C962" s="2" t="s">
        <v>895</v>
      </c>
      <c r="D962" s="2" t="s">
        <v>17</v>
      </c>
      <c r="E962" s="2">
        <v>10.0</v>
      </c>
      <c r="F962" s="6">
        <f>IFERROR(__xludf.DUMMYFUNCTION("""COMPUTED_VALUE"""),1.29504220000126)</f>
        <v>1.2950422</v>
      </c>
    </row>
    <row r="963">
      <c r="A963" s="6" t="str">
        <f t="shared" si="5"/>
        <v>P5</v>
      </c>
      <c r="B963" s="2">
        <v>179.0</v>
      </c>
      <c r="C963" s="2" t="s">
        <v>900</v>
      </c>
      <c r="D963" s="2" t="s">
        <v>17</v>
      </c>
      <c r="E963" s="2">
        <v>10.0</v>
      </c>
      <c r="F963" s="6">
        <f>IFERROR(__xludf.DUMMYFUNCTION("""COMPUTED_VALUE"""),1.06377790000078)</f>
        <v>1.0637779</v>
      </c>
    </row>
    <row r="964">
      <c r="A964" s="6" t="str">
        <f t="shared" si="5"/>
        <v>P5</v>
      </c>
      <c r="B964" s="2">
        <v>180.0</v>
      </c>
      <c r="C964" s="2" t="s">
        <v>905</v>
      </c>
      <c r="D964" s="2" t="s">
        <v>17</v>
      </c>
      <c r="E964" s="2">
        <v>5.0</v>
      </c>
      <c r="F964" s="6">
        <f>IFERROR(__xludf.DUMMYFUNCTION("""COMPUTED_VALUE"""),1.29132659999959)</f>
        <v>1.2913266</v>
      </c>
    </row>
    <row r="965">
      <c r="A965" s="6" t="str">
        <f t="shared" si="5"/>
        <v>P5</v>
      </c>
      <c r="B965" s="2">
        <v>181.0</v>
      </c>
      <c r="C965" s="2" t="s">
        <v>910</v>
      </c>
      <c r="D965" s="2" t="s">
        <v>17</v>
      </c>
      <c r="E965" s="2">
        <v>5.0</v>
      </c>
      <c r="F965" s="6">
        <f>IFERROR(__xludf.DUMMYFUNCTION("""COMPUTED_VALUE"""),1.03056879999894)</f>
        <v>1.0305688</v>
      </c>
    </row>
    <row r="966">
      <c r="A966" s="6" t="str">
        <f t="shared" si="5"/>
        <v>P5</v>
      </c>
      <c r="B966" s="2">
        <v>182.0</v>
      </c>
      <c r="C966" s="2" t="s">
        <v>915</v>
      </c>
      <c r="D966" s="2" t="s">
        <v>17</v>
      </c>
      <c r="E966" s="2">
        <v>5.0</v>
      </c>
      <c r="F966" s="6">
        <f>IFERROR(__xludf.DUMMYFUNCTION("""COMPUTED_VALUE"""),2.3158886000001)</f>
        <v>2.3158886</v>
      </c>
    </row>
    <row r="967">
      <c r="A967" s="6" t="str">
        <f t="shared" si="5"/>
        <v>P5</v>
      </c>
      <c r="B967" s="2">
        <v>183.0</v>
      </c>
      <c r="C967" s="2" t="s">
        <v>920</v>
      </c>
      <c r="D967" s="2" t="s">
        <v>17</v>
      </c>
      <c r="E967" s="2">
        <v>5.0</v>
      </c>
      <c r="F967" s="6">
        <f>IFERROR(__xludf.DUMMYFUNCTION("""COMPUTED_VALUE"""),1.73985490000086)</f>
        <v>1.7398549</v>
      </c>
    </row>
    <row r="968">
      <c r="A968" s="6" t="str">
        <f t="shared" si="5"/>
        <v>P5</v>
      </c>
      <c r="B968" s="2">
        <v>184.0</v>
      </c>
      <c r="C968" s="2" t="s">
        <v>925</v>
      </c>
      <c r="D968" s="2" t="s">
        <v>17</v>
      </c>
      <c r="E968" s="2">
        <v>5.0</v>
      </c>
      <c r="F968" s="6">
        <f>IFERROR(__xludf.DUMMYFUNCTION("""COMPUTED_VALUE"""),1.77016269999876)</f>
        <v>1.7701627</v>
      </c>
    </row>
    <row r="969">
      <c r="A969" s="6" t="str">
        <f t="shared" si="5"/>
        <v>P5</v>
      </c>
      <c r="B969" s="2">
        <v>185.0</v>
      </c>
      <c r="C969" s="2" t="s">
        <v>930</v>
      </c>
      <c r="D969" s="2" t="s">
        <v>17</v>
      </c>
      <c r="E969" s="2">
        <v>10.0</v>
      </c>
      <c r="F969" s="6">
        <f>IFERROR(__xludf.DUMMYFUNCTION("""COMPUTED_VALUE"""),2.02546470000015)</f>
        <v>2.0254647</v>
      </c>
    </row>
    <row r="970">
      <c r="A970" s="6" t="str">
        <f t="shared" si="5"/>
        <v>P5</v>
      </c>
      <c r="B970" s="2">
        <v>186.0</v>
      </c>
      <c r="C970" s="2" t="s">
        <v>934</v>
      </c>
      <c r="D970" s="2" t="s">
        <v>17</v>
      </c>
      <c r="E970" s="2">
        <v>5.0</v>
      </c>
      <c r="F970" s="6">
        <f>IFERROR(__xludf.DUMMYFUNCTION("""COMPUTED_VALUE"""),1.81993970000075)</f>
        <v>1.8199397</v>
      </c>
    </row>
    <row r="971">
      <c r="A971" s="6" t="str">
        <f t="shared" si="5"/>
        <v>P5</v>
      </c>
      <c r="B971" s="2">
        <v>187.0</v>
      </c>
      <c r="C971" s="2" t="s">
        <v>938</v>
      </c>
      <c r="D971" s="2" t="s">
        <v>17</v>
      </c>
      <c r="E971" s="2">
        <v>10.0</v>
      </c>
      <c r="F971" s="6">
        <f>IFERROR(__xludf.DUMMYFUNCTION("""COMPUTED_VALUE"""),1.8306334000008)</f>
        <v>1.8306334</v>
      </c>
    </row>
    <row r="972">
      <c r="A972" s="6" t="str">
        <f t="shared" si="5"/>
        <v>P5</v>
      </c>
      <c r="B972" s="2">
        <v>188.0</v>
      </c>
      <c r="C972" s="2" t="s">
        <v>942</v>
      </c>
      <c r="D972" s="2" t="s">
        <v>17</v>
      </c>
      <c r="E972" s="2">
        <v>10.0</v>
      </c>
      <c r="F972" s="6">
        <f>IFERROR(__xludf.DUMMYFUNCTION("""COMPUTED_VALUE"""),1.79228730000068)</f>
        <v>1.7922873</v>
      </c>
    </row>
    <row r="973">
      <c r="A973" s="6" t="str">
        <f t="shared" si="5"/>
        <v>P5</v>
      </c>
      <c r="B973" s="2">
        <v>189.0</v>
      </c>
      <c r="C973" s="2" t="s">
        <v>947</v>
      </c>
      <c r="D973" s="2" t="s">
        <v>17</v>
      </c>
      <c r="E973" s="2">
        <v>10.0</v>
      </c>
      <c r="F973" s="6">
        <f>IFERROR(__xludf.DUMMYFUNCTION("""COMPUTED_VALUE"""),2.57746000000042)</f>
        <v>2.57746</v>
      </c>
    </row>
    <row r="974">
      <c r="A974" s="6" t="str">
        <f t="shared" si="5"/>
        <v>P5</v>
      </c>
      <c r="B974" s="2">
        <v>190.0</v>
      </c>
      <c r="C974" s="2" t="s">
        <v>951</v>
      </c>
      <c r="D974" s="2" t="s">
        <v>17</v>
      </c>
      <c r="E974" s="2">
        <v>10.0</v>
      </c>
      <c r="F974" s="6">
        <f>IFERROR(__xludf.DUMMYFUNCTION("""COMPUTED_VALUE"""),1.63237110000045)</f>
        <v>1.6323711</v>
      </c>
    </row>
    <row r="975">
      <c r="A975" s="6" t="str">
        <f t="shared" si="5"/>
        <v>P5</v>
      </c>
      <c r="B975" s="2">
        <v>191.0</v>
      </c>
      <c r="C975" s="2" t="s">
        <v>955</v>
      </c>
      <c r="D975" s="2" t="s">
        <v>17</v>
      </c>
      <c r="E975" s="2">
        <v>5.0</v>
      </c>
      <c r="F975" s="6">
        <f>IFERROR(__xludf.DUMMYFUNCTION("""COMPUTED_VALUE"""),1.65110219999951)</f>
        <v>1.6511022</v>
      </c>
    </row>
    <row r="976">
      <c r="A976" s="6" t="str">
        <f t="shared" si="5"/>
        <v>P5</v>
      </c>
      <c r="B976" s="2">
        <v>192.0</v>
      </c>
      <c r="C976" s="2" t="s">
        <v>960</v>
      </c>
      <c r="D976" s="2" t="s">
        <v>17</v>
      </c>
      <c r="E976" s="2">
        <v>5.0</v>
      </c>
      <c r="F976" s="6">
        <f>IFERROR(__xludf.DUMMYFUNCTION("""COMPUTED_VALUE"""),1.52617129999998)</f>
        <v>1.5261713</v>
      </c>
    </row>
    <row r="977">
      <c r="A977" s="6" t="str">
        <f t="shared" si="5"/>
        <v>P5</v>
      </c>
      <c r="B977" s="2">
        <v>193.0</v>
      </c>
      <c r="C977" s="2" t="s">
        <v>965</v>
      </c>
      <c r="D977" s="2" t="s">
        <v>17</v>
      </c>
      <c r="E977" s="2">
        <v>5.0</v>
      </c>
      <c r="F977" s="6">
        <f>IFERROR(__xludf.DUMMYFUNCTION("""COMPUTED_VALUE"""),1.44618719999925)</f>
        <v>1.4461872</v>
      </c>
    </row>
    <row r="978">
      <c r="A978" s="6" t="str">
        <f t="shared" si="5"/>
        <v>P5</v>
      </c>
      <c r="B978" s="2">
        <v>194.0</v>
      </c>
      <c r="C978" s="2" t="s">
        <v>970</v>
      </c>
      <c r="D978" s="2" t="s">
        <v>17</v>
      </c>
      <c r="E978" s="2">
        <v>5.0</v>
      </c>
      <c r="F978" s="6">
        <f>IFERROR(__xludf.DUMMYFUNCTION("""COMPUTED_VALUE"""),1.75677639999958)</f>
        <v>1.7567764</v>
      </c>
    </row>
    <row r="979">
      <c r="A979" s="6" t="str">
        <f t="shared" si="5"/>
        <v>P5</v>
      </c>
      <c r="B979" s="2">
        <v>195.0</v>
      </c>
      <c r="C979" s="2" t="s">
        <v>975</v>
      </c>
      <c r="D979" s="2" t="s">
        <v>17</v>
      </c>
      <c r="E979" s="2">
        <v>10.0</v>
      </c>
      <c r="F979" s="6">
        <f>IFERROR(__xludf.DUMMYFUNCTION("""COMPUTED_VALUE"""),1.40427480000107)</f>
        <v>1.4042748</v>
      </c>
    </row>
    <row r="980">
      <c r="A980" s="6" t="str">
        <f t="shared" si="5"/>
        <v>P5</v>
      </c>
      <c r="B980" s="2">
        <v>196.0</v>
      </c>
      <c r="C980" s="2" t="s">
        <v>980</v>
      </c>
      <c r="D980" s="2" t="s">
        <v>17</v>
      </c>
      <c r="E980" s="2">
        <v>10.0</v>
      </c>
      <c r="F980" s="6">
        <f>IFERROR(__xludf.DUMMYFUNCTION("""COMPUTED_VALUE"""),1.57502720000047)</f>
        <v>1.5750272</v>
      </c>
    </row>
    <row r="981">
      <c r="A981" s="6" t="str">
        <f t="shared" si="5"/>
        <v>P5</v>
      </c>
      <c r="B981" s="2">
        <v>197.0</v>
      </c>
      <c r="C981" s="2" t="s">
        <v>985</v>
      </c>
      <c r="D981" s="2" t="s">
        <v>17</v>
      </c>
      <c r="E981" s="2">
        <v>5.0</v>
      </c>
      <c r="F981" s="6">
        <f>IFERROR(__xludf.DUMMYFUNCTION("""COMPUTED_VALUE"""),1.67262110000046)</f>
        <v>1.6726211</v>
      </c>
    </row>
    <row r="982">
      <c r="A982" s="6" t="str">
        <f t="shared" si="5"/>
        <v>P5</v>
      </c>
      <c r="B982" s="2">
        <v>198.0</v>
      </c>
      <c r="C982" s="2" t="s">
        <v>990</v>
      </c>
      <c r="D982" s="2" t="s">
        <v>17</v>
      </c>
      <c r="E982" s="2">
        <v>5.0</v>
      </c>
      <c r="F982" s="6">
        <f>IFERROR(__xludf.DUMMYFUNCTION("""COMPUTED_VALUE"""),1.82375159999901)</f>
        <v>1.8237516</v>
      </c>
    </row>
    <row r="983">
      <c r="A983" s="6" t="str">
        <f t="shared" si="5"/>
        <v>P5</v>
      </c>
      <c r="B983" s="2">
        <v>199.0</v>
      </c>
      <c r="C983" s="2" t="s">
        <v>995</v>
      </c>
      <c r="D983" s="2" t="s">
        <v>17</v>
      </c>
      <c r="E983" s="2">
        <v>5.0</v>
      </c>
      <c r="F983" s="6">
        <f>IFERROR(__xludf.DUMMYFUNCTION("""COMPUTED_VALUE"""),1.12196849999963)</f>
        <v>1.1219685</v>
      </c>
    </row>
    <row r="984">
      <c r="B984" s="2"/>
      <c r="F984" s="6"/>
    </row>
    <row r="985">
      <c r="B985" s="2"/>
      <c r="F985" s="6"/>
    </row>
    <row r="986">
      <c r="B986" s="2"/>
      <c r="F986" s="6"/>
    </row>
    <row r="987">
      <c r="B987" s="2"/>
      <c r="F987" s="6"/>
    </row>
    <row r="988">
      <c r="B988" s="2"/>
      <c r="F988" s="6"/>
    </row>
    <row r="989">
      <c r="B989" s="2"/>
      <c r="F989" s="6"/>
    </row>
    <row r="990">
      <c r="B990" s="2"/>
      <c r="F990" s="6"/>
    </row>
    <row r="991">
      <c r="B991" s="2"/>
      <c r="F991" s="6"/>
    </row>
    <row r="992">
      <c r="B992" s="2"/>
      <c r="F992" s="6"/>
    </row>
    <row r="993">
      <c r="B993" s="2"/>
      <c r="F993" s="6"/>
    </row>
    <row r="994">
      <c r="B994" s="2"/>
      <c r="F994" s="6"/>
    </row>
    <row r="995">
      <c r="B995" s="2"/>
      <c r="F995" s="6"/>
    </row>
    <row r="996">
      <c r="B996" s="2"/>
      <c r="F996" s="6"/>
    </row>
    <row r="997">
      <c r="B997" s="2"/>
      <c r="F997" s="6"/>
    </row>
    <row r="998">
      <c r="B998" s="2"/>
      <c r="F998" s="6"/>
    </row>
    <row r="999">
      <c r="B999" s="2"/>
      <c r="F999" s="6"/>
    </row>
    <row r="1000">
      <c r="B1000" s="2"/>
      <c r="F1000" s="6"/>
    </row>
    <row r="1001">
      <c r="B1001" s="2"/>
      <c r="F1001" s="6"/>
    </row>
    <row r="1002">
      <c r="B1002" s="2"/>
      <c r="F1002" s="6"/>
    </row>
    <row r="1003">
      <c r="B1003" s="2"/>
      <c r="F1003" s="6"/>
    </row>
    <row r="1004">
      <c r="B1004" s="2"/>
      <c r="F1004" s="6"/>
    </row>
    <row r="1005">
      <c r="B1005" s="2"/>
      <c r="F1005" s="6"/>
    </row>
    <row r="1006">
      <c r="B1006" s="2"/>
      <c r="F1006" s="6"/>
    </row>
    <row r="1007">
      <c r="B1007" s="2"/>
      <c r="F1007" s="6"/>
    </row>
    <row r="1008">
      <c r="B1008" s="2"/>
      <c r="F1008" s="6"/>
    </row>
    <row r="1009">
      <c r="B1009" s="2"/>
      <c r="F1009" s="6"/>
    </row>
    <row r="1010">
      <c r="B1010" s="2"/>
      <c r="F1010" s="6"/>
    </row>
    <row r="1011">
      <c r="B1011" s="2"/>
      <c r="F1011" s="6"/>
    </row>
    <row r="1012">
      <c r="B1012" s="2"/>
      <c r="F1012" s="6"/>
    </row>
    <row r="1013">
      <c r="B1013" s="2"/>
      <c r="F1013" s="6"/>
    </row>
    <row r="1014">
      <c r="B1014" s="2"/>
      <c r="F1014" s="6"/>
    </row>
    <row r="1015">
      <c r="B1015" s="2"/>
      <c r="F1015" s="6"/>
    </row>
    <row r="1016">
      <c r="B1016" s="2"/>
      <c r="F1016" s="6"/>
    </row>
    <row r="1017">
      <c r="B1017" s="2"/>
      <c r="F1017" s="6"/>
    </row>
    <row r="1018">
      <c r="B1018" s="2"/>
      <c r="F1018" s="6"/>
    </row>
    <row r="1019">
      <c r="B1019" s="2"/>
      <c r="F1019" s="6"/>
    </row>
    <row r="1020">
      <c r="B1020" s="2"/>
      <c r="F1020" s="6"/>
    </row>
    <row r="1021">
      <c r="B1021" s="2"/>
      <c r="F1021" s="6"/>
    </row>
    <row r="1022">
      <c r="B1022" s="2"/>
      <c r="F1022" s="6"/>
    </row>
    <row r="1023">
      <c r="B1023" s="2"/>
      <c r="F1023" s="6"/>
    </row>
    <row r="1024">
      <c r="B1024" s="2"/>
      <c r="F1024" s="6"/>
    </row>
    <row r="1025">
      <c r="B1025" s="2"/>
      <c r="F1025" s="6"/>
    </row>
    <row r="1026">
      <c r="B1026" s="2"/>
      <c r="F1026" s="6"/>
    </row>
    <row r="1027">
      <c r="B1027" s="2"/>
      <c r="F1027" s="6"/>
    </row>
    <row r="1028">
      <c r="B1028" s="2"/>
      <c r="F1028" s="6"/>
    </row>
    <row r="1029">
      <c r="B1029" s="2"/>
      <c r="F1029" s="6"/>
    </row>
    <row r="1030">
      <c r="B1030" s="2"/>
      <c r="F1030" s="6"/>
    </row>
    <row r="1031">
      <c r="B1031" s="2"/>
      <c r="F1031" s="6"/>
    </row>
    <row r="1032">
      <c r="B1032" s="2"/>
      <c r="F1032" s="6"/>
    </row>
    <row r="1033">
      <c r="B1033" s="2"/>
      <c r="F1033" s="6"/>
    </row>
    <row r="1034">
      <c r="B1034" s="2"/>
      <c r="F1034" s="6"/>
    </row>
    <row r="1035">
      <c r="B1035" s="2"/>
      <c r="F1035" s="6"/>
    </row>
    <row r="1036">
      <c r="B1036" s="2"/>
      <c r="F1036" s="6"/>
    </row>
    <row r="1037">
      <c r="B1037" s="2"/>
      <c r="F1037" s="6"/>
    </row>
    <row r="1038">
      <c r="B1038" s="2"/>
      <c r="F1038" s="6"/>
    </row>
    <row r="1039">
      <c r="B1039" s="2"/>
      <c r="F1039" s="6"/>
    </row>
    <row r="1040">
      <c r="B1040" s="2"/>
      <c r="F1040" s="6"/>
    </row>
    <row r="1041">
      <c r="B1041" s="2"/>
      <c r="F1041" s="6"/>
    </row>
    <row r="1042">
      <c r="B1042" s="2"/>
      <c r="F1042" s="6"/>
    </row>
    <row r="1043">
      <c r="B1043" s="2"/>
      <c r="F1043" s="6"/>
    </row>
    <row r="1044">
      <c r="B1044" s="2"/>
      <c r="F1044" s="6"/>
    </row>
    <row r="1045">
      <c r="B1045" s="2"/>
      <c r="F1045" s="6"/>
    </row>
    <row r="1046">
      <c r="B1046" s="2"/>
      <c r="F1046" s="6"/>
    </row>
    <row r="1047">
      <c r="B1047" s="2"/>
      <c r="F1047" s="6"/>
    </row>
    <row r="1048">
      <c r="B1048" s="2"/>
      <c r="F1048" s="6"/>
    </row>
    <row r="1049">
      <c r="B1049" s="2"/>
      <c r="F1049" s="6"/>
    </row>
    <row r="1050">
      <c r="B1050" s="2"/>
      <c r="F1050" s="6"/>
    </row>
    <row r="1051">
      <c r="B1051" s="2"/>
      <c r="F1051" s="6"/>
    </row>
    <row r="1052">
      <c r="B1052" s="2"/>
      <c r="F1052" s="6"/>
    </row>
    <row r="1053">
      <c r="B1053" s="2"/>
      <c r="F1053" s="6"/>
    </row>
    <row r="1054">
      <c r="B1054" s="2"/>
      <c r="F1054" s="6"/>
    </row>
    <row r="1055">
      <c r="B1055" s="2"/>
      <c r="F1055" s="6"/>
    </row>
    <row r="1056">
      <c r="B1056" s="2"/>
      <c r="F1056" s="6"/>
    </row>
    <row r="1057">
      <c r="B1057" s="2"/>
      <c r="F1057" s="6"/>
    </row>
    <row r="1058">
      <c r="B1058" s="2"/>
      <c r="F1058" s="6"/>
    </row>
    <row r="1059">
      <c r="B1059" s="2"/>
      <c r="F1059" s="6"/>
    </row>
    <row r="1060">
      <c r="B1060" s="2"/>
      <c r="F1060" s="6"/>
    </row>
    <row r="1061">
      <c r="B1061" s="2"/>
      <c r="F1061" s="6"/>
    </row>
    <row r="1062">
      <c r="B1062" s="2"/>
      <c r="F1062" s="6"/>
    </row>
    <row r="1063">
      <c r="B1063" s="2"/>
      <c r="F1063" s="6"/>
    </row>
    <row r="1064">
      <c r="B1064" s="2"/>
      <c r="F1064" s="6"/>
    </row>
    <row r="1065">
      <c r="B1065" s="2"/>
      <c r="F1065" s="6"/>
    </row>
    <row r="1066">
      <c r="B1066" s="2"/>
      <c r="F1066" s="6"/>
    </row>
    <row r="1067">
      <c r="B1067" s="2"/>
      <c r="F1067" s="6"/>
    </row>
    <row r="1068">
      <c r="B1068" s="2"/>
      <c r="F1068" s="6"/>
    </row>
    <row r="1069">
      <c r="B1069" s="2"/>
      <c r="F1069" s="6"/>
    </row>
    <row r="1070">
      <c r="B1070" s="2"/>
      <c r="F1070" s="6"/>
    </row>
    <row r="1071">
      <c r="B1071" s="2"/>
      <c r="F1071" s="6"/>
    </row>
    <row r="1072">
      <c r="B1072" s="2"/>
      <c r="F1072" s="6"/>
    </row>
    <row r="1073">
      <c r="B1073" s="2"/>
      <c r="F1073" s="6"/>
    </row>
    <row r="1074">
      <c r="B1074" s="2"/>
      <c r="F1074" s="6"/>
    </row>
    <row r="1075">
      <c r="B1075" s="2"/>
      <c r="F1075" s="6"/>
    </row>
    <row r="1076">
      <c r="B1076" s="2"/>
      <c r="F1076" s="6"/>
    </row>
    <row r="1077">
      <c r="B1077" s="2"/>
      <c r="F1077" s="6"/>
    </row>
    <row r="1078">
      <c r="B1078" s="2"/>
      <c r="F1078" s="6"/>
    </row>
    <row r="1079">
      <c r="B1079" s="2"/>
      <c r="F1079" s="6"/>
    </row>
    <row r="1080">
      <c r="B1080" s="2"/>
      <c r="F1080" s="6"/>
    </row>
    <row r="1081">
      <c r="B1081" s="2"/>
      <c r="F1081" s="6"/>
    </row>
    <row r="1082">
      <c r="B1082" s="2"/>
      <c r="F1082" s="6"/>
    </row>
    <row r="1083">
      <c r="B1083" s="2"/>
      <c r="F1083" s="6"/>
    </row>
    <row r="1084">
      <c r="B1084" s="2"/>
      <c r="F1084" s="6"/>
    </row>
    <row r="1085">
      <c r="B1085" s="2"/>
      <c r="F1085" s="6"/>
    </row>
    <row r="1086">
      <c r="B1086" s="2"/>
      <c r="F1086" s="6"/>
    </row>
    <row r="1087">
      <c r="B1087" s="2"/>
      <c r="F1087" s="6"/>
    </row>
    <row r="1088">
      <c r="B1088" s="2"/>
      <c r="F1088" s="6"/>
    </row>
    <row r="1089">
      <c r="B1089" s="2"/>
      <c r="F1089" s="6"/>
    </row>
    <row r="1090">
      <c r="B1090" s="2"/>
      <c r="F1090" s="6"/>
    </row>
    <row r="1091">
      <c r="B1091" s="2"/>
      <c r="F1091" s="6"/>
    </row>
    <row r="1092">
      <c r="B1092" s="2"/>
      <c r="F1092" s="6"/>
    </row>
    <row r="1093">
      <c r="B1093" s="2"/>
      <c r="F1093" s="6"/>
    </row>
    <row r="1094">
      <c r="B1094" s="2"/>
      <c r="F1094" s="6"/>
    </row>
    <row r="1095">
      <c r="B1095" s="2"/>
      <c r="F1095" s="6"/>
    </row>
    <row r="1096">
      <c r="B1096" s="2"/>
      <c r="F1096" s="6"/>
    </row>
    <row r="1097">
      <c r="B1097" s="2"/>
      <c r="F1097" s="6"/>
    </row>
    <row r="1098">
      <c r="B1098" s="2"/>
      <c r="F1098" s="6"/>
    </row>
    <row r="1099">
      <c r="B1099" s="2"/>
      <c r="F1099" s="6"/>
    </row>
    <row r="1100">
      <c r="B1100" s="2"/>
      <c r="F1100" s="6"/>
    </row>
    <row r="1101">
      <c r="B1101" s="2"/>
      <c r="F1101" s="6"/>
    </row>
    <row r="1102">
      <c r="B1102" s="2"/>
      <c r="F1102" s="6"/>
    </row>
    <row r="1103">
      <c r="B1103" s="2"/>
      <c r="F1103" s="6"/>
    </row>
    <row r="1104">
      <c r="B1104" s="2"/>
      <c r="F1104" s="6"/>
    </row>
    <row r="1105">
      <c r="B1105" s="2"/>
      <c r="F1105" s="6"/>
    </row>
    <row r="1106">
      <c r="B1106" s="2"/>
      <c r="F1106" s="6"/>
    </row>
    <row r="1107">
      <c r="B1107" s="2"/>
      <c r="F1107" s="6"/>
    </row>
    <row r="1108">
      <c r="B1108" s="2"/>
      <c r="F1108" s="6"/>
    </row>
    <row r="1109">
      <c r="B1109" s="2"/>
      <c r="F1109" s="6"/>
    </row>
    <row r="1110">
      <c r="B1110" s="2"/>
      <c r="F1110" s="6"/>
    </row>
    <row r="1111">
      <c r="B1111" s="2"/>
      <c r="F1111" s="6"/>
    </row>
    <row r="1112">
      <c r="B1112" s="2"/>
      <c r="F1112" s="6"/>
    </row>
    <row r="1113">
      <c r="B1113" s="2"/>
      <c r="F1113" s="6"/>
    </row>
    <row r="1114">
      <c r="B1114" s="2"/>
      <c r="F1114" s="6"/>
    </row>
    <row r="1115">
      <c r="B1115" s="2"/>
      <c r="F1115" s="6"/>
    </row>
    <row r="1116">
      <c r="B1116" s="2"/>
      <c r="F1116" s="6"/>
    </row>
    <row r="1117">
      <c r="B1117" s="2"/>
      <c r="F1117" s="6"/>
    </row>
    <row r="1118">
      <c r="B1118" s="2"/>
      <c r="F1118" s="6"/>
    </row>
    <row r="1119">
      <c r="B1119" s="2"/>
      <c r="F1119" s="6"/>
    </row>
    <row r="1120">
      <c r="B1120" s="2"/>
      <c r="F1120" s="6"/>
    </row>
    <row r="1121">
      <c r="B1121" s="2"/>
      <c r="F1121" s="6"/>
    </row>
    <row r="1122">
      <c r="B1122" s="2"/>
      <c r="F1122" s="6"/>
    </row>
    <row r="1123">
      <c r="B1123" s="2"/>
      <c r="F1123" s="6"/>
    </row>
    <row r="1124">
      <c r="B1124" s="2"/>
      <c r="F1124" s="6"/>
    </row>
    <row r="1125">
      <c r="B1125" s="2"/>
      <c r="F1125" s="6"/>
    </row>
    <row r="1126">
      <c r="B1126" s="2"/>
      <c r="F1126" s="6"/>
    </row>
    <row r="1127">
      <c r="B1127" s="2"/>
      <c r="F1127" s="6"/>
    </row>
    <row r="1128">
      <c r="B1128" s="2"/>
      <c r="F1128" s="6"/>
    </row>
    <row r="1129">
      <c r="B1129" s="2"/>
      <c r="F1129" s="6"/>
    </row>
    <row r="1130">
      <c r="B1130" s="2"/>
      <c r="F1130" s="6"/>
    </row>
    <row r="1131">
      <c r="B1131" s="2"/>
      <c r="F1131" s="6"/>
    </row>
    <row r="1132">
      <c r="B1132" s="2"/>
      <c r="F1132" s="6"/>
    </row>
    <row r="1133">
      <c r="B1133" s="2"/>
      <c r="F1133" s="6"/>
    </row>
    <row r="1134">
      <c r="B1134" s="2"/>
      <c r="F1134" s="6"/>
    </row>
    <row r="1135">
      <c r="B1135" s="2"/>
      <c r="F1135" s="6"/>
    </row>
    <row r="1136">
      <c r="B1136" s="2"/>
      <c r="F1136" s="6"/>
    </row>
    <row r="1137">
      <c r="B1137" s="2"/>
      <c r="F1137" s="6"/>
    </row>
    <row r="1138">
      <c r="B1138" s="2"/>
      <c r="F1138" s="6"/>
    </row>
    <row r="1139">
      <c r="B1139" s="2"/>
      <c r="F1139" s="6"/>
    </row>
    <row r="1140">
      <c r="B1140" s="2"/>
      <c r="F1140" s="6"/>
    </row>
    <row r="1141">
      <c r="B1141" s="2"/>
      <c r="F1141" s="6"/>
    </row>
    <row r="1142">
      <c r="B1142" s="2"/>
      <c r="F1142" s="6"/>
    </row>
    <row r="1143">
      <c r="B1143" s="2"/>
      <c r="F1143" s="6"/>
    </row>
    <row r="1144">
      <c r="B1144" s="2"/>
      <c r="F1144" s="6"/>
    </row>
    <row r="1145">
      <c r="B1145" s="2"/>
      <c r="F1145" s="6"/>
    </row>
    <row r="1146">
      <c r="B1146" s="2"/>
      <c r="F1146" s="6"/>
    </row>
    <row r="1147">
      <c r="B1147" s="2"/>
      <c r="F1147" s="6"/>
    </row>
    <row r="1148">
      <c r="B1148" s="2"/>
      <c r="F1148" s="6"/>
    </row>
    <row r="1149">
      <c r="B1149" s="2"/>
      <c r="F1149" s="6"/>
    </row>
    <row r="1150">
      <c r="B1150" s="2"/>
      <c r="F1150" s="6"/>
    </row>
    <row r="1151">
      <c r="B1151" s="2"/>
      <c r="F1151" s="6"/>
    </row>
    <row r="1152">
      <c r="B1152" s="2"/>
      <c r="F1152" s="6"/>
    </row>
    <row r="1153">
      <c r="B1153" s="2"/>
      <c r="F1153" s="6"/>
    </row>
    <row r="1154">
      <c r="B1154" s="2"/>
      <c r="F1154" s="6"/>
    </row>
    <row r="1155">
      <c r="B1155" s="2"/>
      <c r="F1155" s="6"/>
    </row>
    <row r="1156">
      <c r="B1156" s="2"/>
      <c r="F1156" s="6"/>
    </row>
    <row r="1157">
      <c r="B1157" s="2"/>
      <c r="F1157" s="6"/>
    </row>
    <row r="1158">
      <c r="B1158" s="2"/>
      <c r="F1158" s="6"/>
    </row>
    <row r="1159">
      <c r="B1159" s="2"/>
      <c r="F1159" s="6"/>
    </row>
    <row r="1160">
      <c r="B1160" s="2"/>
      <c r="F1160" s="6"/>
    </row>
    <row r="1161">
      <c r="B1161" s="2"/>
      <c r="F1161" s="6"/>
    </row>
    <row r="1162">
      <c r="B1162" s="2"/>
      <c r="F1162" s="6"/>
    </row>
    <row r="1163">
      <c r="B1163" s="2"/>
      <c r="F1163" s="6"/>
    </row>
    <row r="1164">
      <c r="B1164" s="2"/>
      <c r="F1164" s="6"/>
    </row>
    <row r="1165">
      <c r="B1165" s="2"/>
      <c r="F1165" s="6"/>
    </row>
    <row r="1166">
      <c r="B1166" s="2"/>
      <c r="F1166" s="6"/>
    </row>
    <row r="1167">
      <c r="B1167" s="2"/>
      <c r="F1167" s="6"/>
    </row>
    <row r="1168">
      <c r="B1168" s="2"/>
      <c r="F1168" s="6"/>
    </row>
    <row r="1169">
      <c r="B1169" s="2"/>
      <c r="F1169" s="6"/>
    </row>
    <row r="1170">
      <c r="B1170" s="2"/>
      <c r="F1170" s="6"/>
    </row>
    <row r="1171">
      <c r="B1171" s="2"/>
      <c r="F1171" s="6"/>
    </row>
    <row r="1172">
      <c r="B1172" s="2"/>
      <c r="F1172" s="6"/>
    </row>
    <row r="1173">
      <c r="B1173" s="2"/>
      <c r="F1173" s="6"/>
    </row>
    <row r="1174">
      <c r="B1174" s="2"/>
      <c r="F1174" s="6"/>
    </row>
    <row r="1175">
      <c r="B1175" s="2"/>
      <c r="F1175" s="6"/>
    </row>
    <row r="1176">
      <c r="B1176" s="2"/>
      <c r="F1176" s="6"/>
    </row>
    <row r="1177">
      <c r="B1177" s="2"/>
      <c r="F1177" s="6"/>
    </row>
    <row r="1178">
      <c r="B1178" s="2"/>
      <c r="F1178" s="6"/>
    </row>
    <row r="1179">
      <c r="B1179" s="2"/>
      <c r="F1179" s="6"/>
    </row>
    <row r="1180">
      <c r="B1180" s="2"/>
      <c r="F1180" s="6"/>
    </row>
    <row r="1181">
      <c r="B1181" s="2"/>
      <c r="F1181" s="6"/>
    </row>
    <row r="1182">
      <c r="B1182" s="2"/>
      <c r="F1182" s="6"/>
    </row>
    <row r="1183">
      <c r="B1183" s="2"/>
      <c r="F1183" s="6"/>
    </row>
    <row r="1184">
      <c r="B1184" s="2"/>
      <c r="F1184" s="6"/>
    </row>
    <row r="1185">
      <c r="B1185" s="2"/>
      <c r="F1185" s="6"/>
    </row>
    <row r="1186">
      <c r="B1186" s="2"/>
      <c r="F1186" s="6"/>
    </row>
    <row r="1187">
      <c r="B1187" s="2"/>
      <c r="F1187" s="6"/>
    </row>
    <row r="1188">
      <c r="B1188" s="2"/>
      <c r="F1188" s="6"/>
    </row>
    <row r="1189">
      <c r="B1189" s="2"/>
      <c r="F1189" s="6"/>
    </row>
    <row r="1190">
      <c r="B1190" s="2"/>
      <c r="F1190" s="6"/>
    </row>
    <row r="1191">
      <c r="B1191" s="2"/>
      <c r="F1191" s="6"/>
    </row>
    <row r="1192">
      <c r="B1192" s="2"/>
      <c r="F1192" s="6"/>
    </row>
    <row r="1193">
      <c r="B1193" s="2"/>
      <c r="F1193" s="6"/>
    </row>
    <row r="1194">
      <c r="B1194" s="2"/>
      <c r="F1194" s="6"/>
    </row>
    <row r="1195">
      <c r="B1195" s="2"/>
      <c r="F1195" s="6"/>
    </row>
    <row r="1196">
      <c r="B1196" s="2"/>
      <c r="F1196" s="6"/>
    </row>
    <row r="1197">
      <c r="B1197" s="2"/>
      <c r="F1197" s="6"/>
    </row>
    <row r="1198">
      <c r="B1198" s="2"/>
      <c r="F1198" s="6"/>
    </row>
    <row r="1199">
      <c r="B1199" s="2"/>
      <c r="F1199" s="6"/>
    </row>
    <row r="1200">
      <c r="B1200" s="2"/>
      <c r="F1200" s="6"/>
    </row>
    <row r="1201">
      <c r="B1201" s="2"/>
      <c r="F1201" s="6"/>
    </row>
    <row r="1202">
      <c r="B1202" s="2"/>
      <c r="F1202" s="6"/>
    </row>
    <row r="1203">
      <c r="B1203" s="2"/>
      <c r="F1203" s="6"/>
    </row>
    <row r="1204">
      <c r="B1204" s="2"/>
      <c r="F1204" s="6"/>
    </row>
    <row r="1205">
      <c r="B1205" s="2"/>
      <c r="F1205" s="6"/>
    </row>
    <row r="1206">
      <c r="B1206" s="2"/>
      <c r="F1206" s="6"/>
    </row>
    <row r="1207">
      <c r="B1207" s="2"/>
      <c r="F1207" s="6"/>
    </row>
    <row r="1208">
      <c r="B1208" s="2"/>
      <c r="F1208" s="6"/>
    </row>
    <row r="1209">
      <c r="B1209" s="2"/>
      <c r="F1209" s="6"/>
    </row>
    <row r="1210">
      <c r="B1210" s="2"/>
      <c r="F1210" s="6"/>
    </row>
    <row r="1211">
      <c r="B1211" s="2"/>
      <c r="F1211" s="6"/>
    </row>
    <row r="1212">
      <c r="B1212" s="2"/>
      <c r="F1212" s="6"/>
    </row>
    <row r="1213">
      <c r="B1213" s="2"/>
      <c r="F1213" s="6"/>
    </row>
    <row r="1214">
      <c r="B1214" s="2"/>
      <c r="F1214" s="6"/>
    </row>
    <row r="1215">
      <c r="B1215" s="2"/>
      <c r="F1215" s="6"/>
    </row>
    <row r="1216">
      <c r="B1216" s="2"/>
      <c r="F1216" s="6"/>
    </row>
    <row r="1217">
      <c r="B1217" s="2"/>
      <c r="F1217" s="6"/>
    </row>
    <row r="1218">
      <c r="B1218" s="2"/>
      <c r="F1218" s="6"/>
    </row>
    <row r="1219">
      <c r="B1219" s="2"/>
      <c r="F1219" s="6"/>
    </row>
    <row r="1220">
      <c r="B1220" s="2"/>
      <c r="F1220" s="6"/>
    </row>
    <row r="1221">
      <c r="B1221" s="2"/>
      <c r="F1221" s="6"/>
    </row>
    <row r="1222">
      <c r="B1222" s="2"/>
      <c r="F1222" s="6"/>
    </row>
    <row r="1223">
      <c r="B1223" s="2"/>
      <c r="F1223" s="6"/>
    </row>
    <row r="1224">
      <c r="B1224" s="2"/>
      <c r="F1224" s="6"/>
    </row>
    <row r="1225">
      <c r="B1225" s="2"/>
      <c r="F1225" s="6"/>
    </row>
    <row r="1226">
      <c r="B1226" s="2"/>
      <c r="F1226" s="6"/>
    </row>
    <row r="1227">
      <c r="B1227" s="2"/>
      <c r="F1227" s="6"/>
    </row>
    <row r="1228">
      <c r="B1228" s="2"/>
      <c r="F1228" s="6"/>
    </row>
    <row r="1229">
      <c r="B1229" s="2"/>
      <c r="F1229" s="6"/>
    </row>
    <row r="1230">
      <c r="B1230" s="2"/>
      <c r="F1230" s="6"/>
    </row>
    <row r="1231">
      <c r="B1231" s="2"/>
      <c r="F1231" s="6"/>
    </row>
    <row r="1232">
      <c r="B1232" s="2"/>
      <c r="F1232" s="6"/>
    </row>
    <row r="1233">
      <c r="B1233" s="2"/>
      <c r="F1233" s="6"/>
    </row>
    <row r="1234">
      <c r="B1234" s="2"/>
      <c r="F1234" s="6"/>
    </row>
    <row r="1235">
      <c r="B1235" s="2"/>
      <c r="F1235" s="6"/>
    </row>
    <row r="1236">
      <c r="B1236" s="2"/>
      <c r="F1236" s="6"/>
    </row>
    <row r="1237">
      <c r="B1237" s="2"/>
      <c r="F1237" s="6"/>
    </row>
    <row r="1238">
      <c r="B1238" s="2"/>
      <c r="F1238" s="6"/>
    </row>
    <row r="1239">
      <c r="B1239" s="2"/>
      <c r="F1239" s="6"/>
    </row>
    <row r="1240">
      <c r="B1240" s="2"/>
      <c r="F1240" s="6"/>
    </row>
    <row r="1241">
      <c r="B1241" s="2"/>
      <c r="F1241" s="6"/>
    </row>
    <row r="1242">
      <c r="B1242" s="2"/>
      <c r="F1242" s="6"/>
    </row>
    <row r="1243">
      <c r="B1243" s="2"/>
      <c r="F1243" s="6"/>
    </row>
    <row r="1244">
      <c r="B1244" s="2"/>
      <c r="F1244" s="6"/>
    </row>
    <row r="1245">
      <c r="B1245" s="2"/>
      <c r="F1245" s="6"/>
    </row>
    <row r="1246">
      <c r="B1246" s="2"/>
      <c r="F1246" s="6"/>
    </row>
    <row r="1247">
      <c r="B1247" s="2"/>
      <c r="F1247" s="6"/>
    </row>
    <row r="1248">
      <c r="B1248" s="2"/>
      <c r="F1248" s="6"/>
    </row>
    <row r="1249">
      <c r="B1249" s="2"/>
      <c r="F1249" s="6"/>
    </row>
    <row r="1250">
      <c r="B1250" s="2"/>
      <c r="F1250" s="6"/>
    </row>
    <row r="1251">
      <c r="B1251" s="2"/>
      <c r="F1251" s="6"/>
    </row>
    <row r="1252">
      <c r="B1252" s="2"/>
      <c r="F1252" s="6"/>
    </row>
    <row r="1253">
      <c r="B1253" s="2"/>
      <c r="F1253" s="6"/>
    </row>
    <row r="1254">
      <c r="B1254" s="2"/>
      <c r="F1254" s="6"/>
    </row>
    <row r="1255">
      <c r="B1255" s="2"/>
      <c r="F1255" s="6"/>
    </row>
    <row r="1256">
      <c r="B1256" s="2"/>
      <c r="F1256" s="6"/>
    </row>
    <row r="1257">
      <c r="B1257" s="2"/>
      <c r="F1257" s="6"/>
    </row>
    <row r="1258">
      <c r="B1258" s="2"/>
      <c r="F1258" s="6"/>
    </row>
    <row r="1259">
      <c r="B1259" s="2"/>
      <c r="F1259" s="6"/>
    </row>
    <row r="1260">
      <c r="B1260" s="2"/>
      <c r="F1260" s="6"/>
    </row>
    <row r="1261">
      <c r="B1261" s="2"/>
      <c r="F1261" s="6"/>
    </row>
    <row r="1262">
      <c r="B1262" s="2"/>
      <c r="F1262" s="6"/>
    </row>
    <row r="1263">
      <c r="B1263" s="2"/>
      <c r="F1263" s="6"/>
    </row>
    <row r="1264">
      <c r="B1264" s="2"/>
      <c r="F1264" s="6"/>
    </row>
    <row r="1265">
      <c r="B1265" s="2"/>
      <c r="F1265" s="6"/>
    </row>
    <row r="1266">
      <c r="B1266" s="2"/>
      <c r="F1266" s="6"/>
    </row>
    <row r="1267">
      <c r="B1267" s="2"/>
      <c r="F1267" s="6"/>
    </row>
    <row r="1268">
      <c r="B1268" s="2"/>
      <c r="F1268" s="6"/>
    </row>
    <row r="1269">
      <c r="B1269" s="2"/>
      <c r="F1269" s="6"/>
    </row>
    <row r="1270">
      <c r="B1270" s="2"/>
      <c r="F1270" s="6"/>
    </row>
    <row r="1271">
      <c r="B1271" s="2"/>
      <c r="F1271" s="6"/>
    </row>
    <row r="1272">
      <c r="B1272" s="2"/>
      <c r="F1272" s="6"/>
    </row>
    <row r="1273">
      <c r="B1273" s="2"/>
      <c r="F1273" s="6"/>
    </row>
    <row r="1274">
      <c r="B1274" s="2"/>
      <c r="F1274" s="6"/>
    </row>
    <row r="1275">
      <c r="B1275" s="2"/>
      <c r="F1275" s="6"/>
    </row>
    <row r="1276">
      <c r="B1276" s="2"/>
      <c r="F1276" s="6"/>
    </row>
    <row r="1277">
      <c r="B1277" s="2"/>
      <c r="F1277" s="6"/>
    </row>
    <row r="1278">
      <c r="B1278" s="2"/>
      <c r="F1278" s="6"/>
    </row>
    <row r="1279">
      <c r="B1279" s="2"/>
      <c r="F1279" s="6"/>
    </row>
    <row r="1280">
      <c r="B1280" s="2"/>
      <c r="F1280" s="6"/>
    </row>
    <row r="1281">
      <c r="B1281" s="2"/>
      <c r="F1281" s="6"/>
    </row>
    <row r="1282">
      <c r="B1282" s="2"/>
      <c r="F1282" s="6"/>
    </row>
    <row r="1283">
      <c r="B1283" s="2"/>
      <c r="F1283" s="6"/>
    </row>
    <row r="1284">
      <c r="B1284" s="2"/>
      <c r="F1284" s="6"/>
    </row>
    <row r="1285">
      <c r="B1285" s="2"/>
      <c r="F1285" s="6"/>
    </row>
    <row r="1286">
      <c r="B1286" s="2"/>
      <c r="F1286" s="6"/>
    </row>
    <row r="1287">
      <c r="B1287" s="2"/>
      <c r="F1287" s="6"/>
    </row>
    <row r="1288">
      <c r="B1288" s="2"/>
      <c r="F1288" s="6"/>
    </row>
    <row r="1289">
      <c r="B1289" s="2"/>
      <c r="F1289" s="6"/>
    </row>
    <row r="1290">
      <c r="B1290" s="2"/>
      <c r="F1290" s="6"/>
    </row>
    <row r="1291">
      <c r="B1291" s="2"/>
      <c r="F1291" s="6"/>
    </row>
    <row r="1292">
      <c r="B1292" s="2"/>
      <c r="F1292" s="6"/>
    </row>
    <row r="1293">
      <c r="B1293" s="2"/>
      <c r="F1293" s="6"/>
    </row>
    <row r="1294">
      <c r="B1294" s="2"/>
      <c r="F1294" s="6"/>
    </row>
    <row r="1295">
      <c r="B1295" s="2"/>
      <c r="F1295" s="6"/>
    </row>
    <row r="1296">
      <c r="B1296" s="2"/>
      <c r="F1296" s="6"/>
    </row>
    <row r="1297">
      <c r="B1297" s="2"/>
      <c r="F1297" s="6"/>
    </row>
    <row r="1298">
      <c r="B1298" s="2"/>
      <c r="F1298" s="6"/>
    </row>
    <row r="1299">
      <c r="B1299" s="2"/>
      <c r="F1299" s="6"/>
    </row>
    <row r="1300">
      <c r="B1300" s="2"/>
      <c r="F1300" s="6"/>
    </row>
    <row r="1301">
      <c r="B1301" s="2"/>
      <c r="F1301" s="6"/>
    </row>
    <row r="1302">
      <c r="B1302" s="2"/>
      <c r="F1302" s="6"/>
    </row>
    <row r="1303">
      <c r="B1303" s="2"/>
      <c r="F1303" s="6"/>
    </row>
    <row r="1304">
      <c r="B1304" s="2"/>
      <c r="F1304" s="6"/>
    </row>
    <row r="1305">
      <c r="B1305" s="2"/>
      <c r="F1305" s="6"/>
    </row>
    <row r="1306">
      <c r="B1306" s="2"/>
      <c r="F1306" s="6"/>
    </row>
    <row r="1307">
      <c r="B1307" s="2"/>
      <c r="F1307" s="6"/>
    </row>
    <row r="1308">
      <c r="B1308" s="2"/>
      <c r="F1308" s="6"/>
    </row>
    <row r="1309">
      <c r="B1309" s="2"/>
      <c r="F1309" s="6"/>
    </row>
    <row r="1310">
      <c r="B1310" s="2"/>
      <c r="F1310" s="6"/>
    </row>
    <row r="1311">
      <c r="B1311" s="2"/>
      <c r="F1311" s="6"/>
    </row>
    <row r="1312">
      <c r="B1312" s="2"/>
      <c r="F1312" s="6"/>
    </row>
    <row r="1313">
      <c r="B1313" s="2"/>
      <c r="F1313" s="6"/>
    </row>
    <row r="1314">
      <c r="B1314" s="2"/>
      <c r="F1314" s="6"/>
    </row>
    <row r="1315">
      <c r="B1315" s="2"/>
      <c r="F1315" s="6"/>
    </row>
    <row r="1316">
      <c r="B1316" s="2"/>
      <c r="F1316" s="6"/>
    </row>
    <row r="1317">
      <c r="B1317" s="2"/>
      <c r="F1317" s="6"/>
    </row>
    <row r="1318">
      <c r="B1318" s="2"/>
      <c r="F1318" s="6"/>
    </row>
    <row r="1319">
      <c r="B1319" s="2"/>
      <c r="F1319" s="6"/>
    </row>
    <row r="1320">
      <c r="B1320" s="2"/>
      <c r="F1320" s="6"/>
    </row>
    <row r="1321">
      <c r="B1321" s="2"/>
      <c r="F1321" s="6"/>
    </row>
    <row r="1322">
      <c r="B1322" s="2"/>
      <c r="F1322" s="6"/>
    </row>
    <row r="1323">
      <c r="B1323" s="2"/>
      <c r="F1323" s="6"/>
    </row>
    <row r="1324">
      <c r="B1324" s="2"/>
      <c r="F1324" s="6"/>
    </row>
    <row r="1325">
      <c r="B1325" s="2"/>
      <c r="F1325" s="6"/>
    </row>
    <row r="1326">
      <c r="B1326" s="2"/>
      <c r="F1326" s="6"/>
    </row>
    <row r="1327">
      <c r="B1327" s="2"/>
      <c r="F1327" s="6"/>
    </row>
    <row r="1328">
      <c r="B1328" s="2"/>
      <c r="F1328" s="6"/>
    </row>
    <row r="1329">
      <c r="B1329" s="2"/>
      <c r="F1329" s="6"/>
    </row>
    <row r="1330">
      <c r="B1330" s="2"/>
      <c r="F1330" s="6"/>
    </row>
    <row r="1331">
      <c r="B1331" s="2"/>
      <c r="F1331" s="6"/>
    </row>
    <row r="1332">
      <c r="B1332" s="2"/>
      <c r="F1332" s="6"/>
    </row>
    <row r="1333">
      <c r="B1333" s="2"/>
      <c r="F1333" s="6"/>
    </row>
    <row r="1334">
      <c r="B1334" s="2"/>
      <c r="F1334" s="6"/>
    </row>
    <row r="1335">
      <c r="B1335" s="2"/>
      <c r="F1335" s="6"/>
    </row>
    <row r="1336">
      <c r="B1336" s="2"/>
      <c r="F1336" s="6"/>
    </row>
    <row r="1337">
      <c r="B1337" s="2"/>
      <c r="F1337" s="6"/>
    </row>
    <row r="1338">
      <c r="B1338" s="2"/>
      <c r="F1338" s="6"/>
    </row>
    <row r="1339">
      <c r="B1339" s="2"/>
      <c r="F1339" s="6"/>
    </row>
    <row r="1340">
      <c r="B1340" s="2"/>
      <c r="F1340" s="6"/>
    </row>
    <row r="1341">
      <c r="B1341" s="2"/>
      <c r="F1341" s="6"/>
    </row>
    <row r="1342">
      <c r="B1342" s="2"/>
      <c r="F1342" s="6"/>
    </row>
    <row r="1343">
      <c r="B1343" s="2"/>
      <c r="F1343" s="6"/>
    </row>
    <row r="1344">
      <c r="B1344" s="2"/>
      <c r="F1344" s="6"/>
    </row>
    <row r="1345">
      <c r="B1345" s="2"/>
      <c r="F1345" s="6"/>
    </row>
    <row r="1346">
      <c r="B1346" s="2"/>
      <c r="F1346" s="6"/>
    </row>
    <row r="1347">
      <c r="B1347" s="2"/>
      <c r="F1347" s="6"/>
    </row>
    <row r="1348">
      <c r="B1348" s="2"/>
      <c r="F1348" s="6"/>
    </row>
    <row r="1349">
      <c r="B1349" s="2"/>
      <c r="F1349" s="6"/>
    </row>
    <row r="1350">
      <c r="B1350" s="2"/>
      <c r="F1350" s="6"/>
    </row>
    <row r="1351">
      <c r="B1351" s="2"/>
      <c r="F1351" s="6"/>
    </row>
    <row r="1352">
      <c r="B1352" s="2"/>
      <c r="F1352" s="6"/>
    </row>
    <row r="1353">
      <c r="B1353" s="2"/>
      <c r="F1353" s="6"/>
    </row>
    <row r="1354">
      <c r="B1354" s="2"/>
      <c r="F1354" s="6"/>
    </row>
    <row r="1355">
      <c r="B1355" s="2"/>
      <c r="F1355" s="6"/>
    </row>
    <row r="1356">
      <c r="B1356" s="2"/>
      <c r="F1356" s="6"/>
    </row>
    <row r="1357">
      <c r="B1357" s="2"/>
      <c r="F1357" s="6"/>
    </row>
    <row r="1358">
      <c r="B1358" s="2"/>
      <c r="F1358" s="6"/>
    </row>
    <row r="1359">
      <c r="B1359" s="2"/>
      <c r="F1359" s="6"/>
    </row>
    <row r="1360">
      <c r="B1360" s="2"/>
      <c r="F1360" s="6"/>
    </row>
    <row r="1361">
      <c r="B1361" s="2"/>
      <c r="F1361" s="6"/>
    </row>
    <row r="1362">
      <c r="B1362" s="2"/>
      <c r="F1362" s="6"/>
    </row>
    <row r="1363">
      <c r="B1363" s="2"/>
      <c r="F1363" s="6"/>
    </row>
    <row r="1364">
      <c r="B1364" s="2"/>
      <c r="F1364" s="6"/>
    </row>
    <row r="1365">
      <c r="B1365" s="2"/>
      <c r="F1365" s="6"/>
    </row>
    <row r="1366">
      <c r="B1366" s="2"/>
      <c r="F1366" s="6"/>
    </row>
    <row r="1367">
      <c r="B1367" s="2"/>
      <c r="F1367" s="6"/>
    </row>
    <row r="1368">
      <c r="B1368" s="2"/>
      <c r="F1368" s="6"/>
    </row>
    <row r="1369">
      <c r="B1369" s="2"/>
      <c r="F1369" s="6"/>
    </row>
    <row r="1370">
      <c r="B1370" s="2"/>
      <c r="F1370" s="6"/>
    </row>
    <row r="1371">
      <c r="B1371" s="2"/>
      <c r="F1371" s="6"/>
    </row>
    <row r="1372">
      <c r="B1372" s="2"/>
      <c r="F1372" s="6"/>
    </row>
    <row r="1373">
      <c r="B1373" s="2"/>
      <c r="F1373" s="6"/>
    </row>
    <row r="1374">
      <c r="B1374" s="2"/>
      <c r="F1374" s="6"/>
    </row>
    <row r="1375">
      <c r="B1375" s="2"/>
      <c r="F1375" s="6"/>
    </row>
    <row r="1376">
      <c r="B1376" s="2"/>
      <c r="F1376" s="6"/>
    </row>
    <row r="1377">
      <c r="B1377" s="2"/>
      <c r="F1377" s="6"/>
    </row>
    <row r="1378">
      <c r="B1378" s="2"/>
      <c r="F1378" s="6"/>
    </row>
    <row r="1379">
      <c r="B1379" s="2"/>
      <c r="F1379" s="6"/>
    </row>
    <row r="1380">
      <c r="B1380" s="2"/>
      <c r="F1380" s="6"/>
    </row>
    <row r="1381">
      <c r="B1381" s="2"/>
      <c r="F1381" s="6"/>
    </row>
    <row r="1382">
      <c r="B1382" s="2"/>
      <c r="F1382" s="6"/>
    </row>
    <row r="1383">
      <c r="B1383" s="2"/>
      <c r="F1383" s="6"/>
    </row>
    <row r="1384">
      <c r="B1384" s="2"/>
      <c r="F1384" s="6"/>
    </row>
    <row r="1385">
      <c r="B1385" s="2"/>
      <c r="F1385" s="6"/>
    </row>
    <row r="1386">
      <c r="B1386" s="2"/>
      <c r="F1386" s="6"/>
    </row>
    <row r="1387">
      <c r="B1387" s="2"/>
      <c r="F1387" s="6"/>
    </row>
    <row r="1388">
      <c r="B1388" s="2"/>
      <c r="F1388" s="6"/>
    </row>
    <row r="1389">
      <c r="B1389" s="2"/>
      <c r="F1389" s="6"/>
    </row>
    <row r="1390">
      <c r="B1390" s="2"/>
      <c r="F1390" s="6"/>
    </row>
    <row r="1391">
      <c r="B1391" s="2"/>
      <c r="F1391" s="6"/>
    </row>
    <row r="1392">
      <c r="B1392" s="2"/>
      <c r="F1392" s="6"/>
    </row>
    <row r="1393">
      <c r="B1393" s="2"/>
      <c r="F1393" s="6"/>
    </row>
    <row r="1394">
      <c r="B1394" s="2"/>
      <c r="F1394" s="6"/>
    </row>
    <row r="1395">
      <c r="B1395" s="2"/>
      <c r="F1395" s="6"/>
    </row>
    <row r="1396">
      <c r="B1396" s="2"/>
      <c r="F1396" s="6"/>
    </row>
    <row r="1397">
      <c r="B1397" s="2"/>
      <c r="F1397" s="6"/>
    </row>
    <row r="1398">
      <c r="B1398" s="2"/>
      <c r="F1398" s="6"/>
    </row>
    <row r="1399">
      <c r="B1399" s="2"/>
      <c r="F1399" s="6"/>
    </row>
    <row r="1400">
      <c r="B1400" s="2"/>
      <c r="F1400" s="6"/>
    </row>
    <row r="1401">
      <c r="B1401" s="2"/>
      <c r="F1401" s="6"/>
    </row>
    <row r="1402">
      <c r="B1402" s="2"/>
      <c r="F1402" s="6"/>
    </row>
    <row r="1403">
      <c r="B1403" s="2"/>
      <c r="F1403" s="6"/>
    </row>
    <row r="1404">
      <c r="B1404" s="2"/>
      <c r="F1404" s="6"/>
    </row>
    <row r="1405">
      <c r="B1405" s="2"/>
      <c r="F1405" s="6"/>
    </row>
    <row r="1406">
      <c r="B1406" s="2"/>
      <c r="F1406" s="6"/>
    </row>
    <row r="1407">
      <c r="B1407" s="2"/>
      <c r="F1407" s="6"/>
    </row>
    <row r="1408">
      <c r="B1408" s="2"/>
      <c r="F1408" s="6"/>
    </row>
    <row r="1409">
      <c r="B1409" s="2"/>
      <c r="F1409" s="6"/>
    </row>
    <row r="1410">
      <c r="B1410" s="2"/>
      <c r="F1410" s="6"/>
    </row>
    <row r="1411">
      <c r="B1411" s="2"/>
      <c r="F1411" s="6"/>
    </row>
    <row r="1412">
      <c r="B1412" s="2"/>
      <c r="F1412" s="6"/>
    </row>
    <row r="1413">
      <c r="B1413" s="2"/>
      <c r="F1413" s="6"/>
    </row>
    <row r="1414">
      <c r="B1414" s="2"/>
      <c r="F1414" s="6"/>
    </row>
    <row r="1415">
      <c r="B1415" s="2"/>
      <c r="F1415" s="6"/>
    </row>
    <row r="1416">
      <c r="B1416" s="2"/>
      <c r="F1416" s="6"/>
    </row>
    <row r="1417">
      <c r="B1417" s="2"/>
      <c r="F1417" s="6"/>
    </row>
    <row r="1418">
      <c r="B1418" s="2"/>
      <c r="F1418" s="6"/>
    </row>
    <row r="1419">
      <c r="B1419" s="2"/>
      <c r="F1419" s="6"/>
    </row>
    <row r="1420">
      <c r="B1420" s="2"/>
      <c r="F1420" s="6"/>
    </row>
    <row r="1421">
      <c r="B1421" s="2"/>
      <c r="F1421" s="6"/>
    </row>
    <row r="1422">
      <c r="B1422" s="2"/>
      <c r="F1422" s="6"/>
    </row>
    <row r="1423">
      <c r="B1423" s="2"/>
      <c r="F1423" s="6"/>
    </row>
    <row r="1424">
      <c r="B1424" s="2"/>
      <c r="F1424" s="6"/>
    </row>
    <row r="1425">
      <c r="B1425" s="2"/>
      <c r="F1425" s="6"/>
    </row>
    <row r="1426">
      <c r="B1426" s="2"/>
      <c r="F1426" s="6"/>
    </row>
    <row r="1427">
      <c r="B1427" s="2"/>
      <c r="F1427" s="6"/>
    </row>
    <row r="1428">
      <c r="B1428" s="2"/>
      <c r="F1428" s="6"/>
    </row>
    <row r="1429">
      <c r="B1429" s="2"/>
      <c r="F1429" s="6"/>
    </row>
    <row r="1430">
      <c r="B1430" s="2"/>
      <c r="F1430" s="6"/>
    </row>
    <row r="1431">
      <c r="B1431" s="2"/>
      <c r="F1431" s="6"/>
    </row>
    <row r="1432">
      <c r="B1432" s="2"/>
      <c r="F1432" s="6"/>
    </row>
    <row r="1433">
      <c r="B1433" s="2"/>
      <c r="F1433" s="6"/>
    </row>
    <row r="1434">
      <c r="B1434" s="2"/>
      <c r="F1434" s="6"/>
    </row>
    <row r="1435">
      <c r="B1435" s="2"/>
      <c r="F1435" s="6"/>
    </row>
    <row r="1436">
      <c r="B1436" s="2"/>
      <c r="F1436" s="6"/>
    </row>
    <row r="1437">
      <c r="B1437" s="2"/>
      <c r="F1437" s="6"/>
    </row>
    <row r="1438">
      <c r="B1438" s="2"/>
      <c r="F1438" s="6"/>
    </row>
    <row r="1439">
      <c r="B1439" s="2"/>
      <c r="F1439" s="6"/>
    </row>
    <row r="1440">
      <c r="B1440" s="2"/>
      <c r="F1440" s="6"/>
    </row>
    <row r="1441">
      <c r="B1441" s="2"/>
      <c r="F1441" s="6"/>
    </row>
    <row r="1442">
      <c r="B1442" s="2"/>
      <c r="F1442" s="6"/>
    </row>
    <row r="1443">
      <c r="B1443" s="2"/>
      <c r="F1443" s="6"/>
    </row>
    <row r="1444">
      <c r="B1444" s="2"/>
      <c r="F1444" s="6"/>
    </row>
    <row r="1445">
      <c r="B1445" s="2"/>
      <c r="F1445" s="6"/>
    </row>
    <row r="1446">
      <c r="B1446" s="2"/>
      <c r="F1446" s="6"/>
    </row>
    <row r="1447">
      <c r="B1447" s="2"/>
      <c r="F1447" s="6"/>
    </row>
    <row r="1448">
      <c r="B1448" s="2"/>
      <c r="F1448" s="6"/>
    </row>
    <row r="1449">
      <c r="B1449" s="2"/>
      <c r="F1449" s="6"/>
    </row>
    <row r="1450">
      <c r="B1450" s="2"/>
      <c r="F1450" s="6"/>
    </row>
    <row r="1451">
      <c r="B1451" s="2"/>
      <c r="F1451" s="6"/>
    </row>
    <row r="1452">
      <c r="B1452" s="2"/>
      <c r="F1452" s="6"/>
    </row>
    <row r="1453">
      <c r="B1453" s="2"/>
      <c r="F1453" s="6"/>
    </row>
    <row r="1454">
      <c r="B1454" s="2"/>
      <c r="F1454" s="6"/>
    </row>
    <row r="1455">
      <c r="B1455" s="2"/>
      <c r="F1455" s="6"/>
    </row>
    <row r="1456">
      <c r="B1456" s="2"/>
      <c r="F1456" s="6"/>
    </row>
    <row r="1457">
      <c r="B1457" s="2"/>
      <c r="F1457" s="6"/>
    </row>
    <row r="1458">
      <c r="B1458" s="2"/>
      <c r="F1458" s="6"/>
    </row>
    <row r="1459">
      <c r="B1459" s="2"/>
      <c r="F1459" s="6"/>
    </row>
    <row r="1460">
      <c r="B1460" s="2"/>
      <c r="F1460" s="6"/>
    </row>
    <row r="1461">
      <c r="B1461" s="2"/>
      <c r="F1461" s="6"/>
    </row>
    <row r="1462">
      <c r="B1462" s="2"/>
      <c r="F1462" s="6"/>
    </row>
    <row r="1463">
      <c r="B1463" s="2"/>
      <c r="F1463" s="6"/>
    </row>
    <row r="1464">
      <c r="B1464" s="2"/>
      <c r="F1464" s="6"/>
    </row>
    <row r="1465">
      <c r="B1465" s="2"/>
      <c r="F1465" s="6"/>
    </row>
    <row r="1466">
      <c r="B1466" s="2"/>
      <c r="F1466" s="6"/>
    </row>
    <row r="1467">
      <c r="B1467" s="2"/>
      <c r="F1467" s="6"/>
    </row>
    <row r="1468">
      <c r="B1468" s="2"/>
      <c r="F1468" s="6"/>
    </row>
    <row r="1469">
      <c r="B1469" s="2"/>
      <c r="F1469" s="6"/>
    </row>
    <row r="1470">
      <c r="B1470" s="2"/>
      <c r="F1470" s="6"/>
    </row>
    <row r="1471">
      <c r="B1471" s="2"/>
      <c r="F1471" s="6"/>
    </row>
    <row r="1472">
      <c r="B1472" s="2"/>
      <c r="F1472" s="6"/>
    </row>
    <row r="1473">
      <c r="B1473" s="2"/>
      <c r="F1473" s="6"/>
    </row>
    <row r="1474">
      <c r="B1474" s="2"/>
      <c r="F1474" s="6"/>
    </row>
    <row r="1475">
      <c r="B1475" s="2"/>
      <c r="F1475" s="6"/>
    </row>
    <row r="1476">
      <c r="B1476" s="2"/>
      <c r="F1476" s="6"/>
    </row>
    <row r="1477">
      <c r="B1477" s="2"/>
      <c r="F1477" s="6"/>
    </row>
    <row r="1478">
      <c r="B1478" s="2"/>
      <c r="F1478" s="6"/>
    </row>
    <row r="1479">
      <c r="B1479" s="2"/>
      <c r="F1479" s="6"/>
    </row>
    <row r="1480">
      <c r="B1480" s="2"/>
      <c r="F1480" s="6"/>
    </row>
    <row r="1481">
      <c r="B1481" s="2"/>
      <c r="F1481" s="6"/>
    </row>
    <row r="1482">
      <c r="B1482" s="2"/>
      <c r="F1482" s="6"/>
    </row>
    <row r="1483">
      <c r="B1483" s="2"/>
      <c r="F1483" s="6"/>
    </row>
    <row r="1484">
      <c r="B1484" s="2"/>
      <c r="F1484" s="6"/>
    </row>
    <row r="1485">
      <c r="B1485" s="2"/>
      <c r="F1485" s="6"/>
    </row>
    <row r="1486">
      <c r="B1486" s="2"/>
      <c r="F1486" s="6"/>
    </row>
    <row r="1487">
      <c r="B1487" s="2"/>
      <c r="F1487" s="6"/>
    </row>
    <row r="1488">
      <c r="B1488" s="2"/>
      <c r="F1488" s="6"/>
    </row>
    <row r="1489">
      <c r="B1489" s="2"/>
      <c r="F1489" s="6"/>
    </row>
    <row r="1490">
      <c r="B1490" s="2"/>
      <c r="F1490" s="6"/>
    </row>
    <row r="1491">
      <c r="B1491" s="2"/>
      <c r="F1491" s="6"/>
    </row>
    <row r="1492">
      <c r="B1492" s="2"/>
      <c r="F1492" s="6"/>
    </row>
    <row r="1493">
      <c r="B1493" s="2"/>
      <c r="F1493" s="6"/>
    </row>
    <row r="1494">
      <c r="B1494" s="2"/>
      <c r="F1494" s="6"/>
    </row>
    <row r="1495">
      <c r="B1495" s="2"/>
      <c r="F1495" s="6"/>
    </row>
    <row r="1496">
      <c r="B1496" s="2"/>
      <c r="F1496" s="6"/>
    </row>
    <row r="1497">
      <c r="B1497" s="2"/>
      <c r="F1497" s="6"/>
    </row>
    <row r="1498">
      <c r="B1498" s="2"/>
      <c r="F1498" s="6"/>
    </row>
    <row r="1499">
      <c r="B1499" s="2"/>
      <c r="F1499" s="6"/>
    </row>
    <row r="1500">
      <c r="B1500" s="2"/>
      <c r="F1500" s="6"/>
    </row>
    <row r="1501">
      <c r="B1501" s="2"/>
      <c r="F1501" s="6"/>
    </row>
    <row r="1502">
      <c r="B1502" s="2"/>
      <c r="F1502" s="6"/>
    </row>
    <row r="1503">
      <c r="B1503" s="2"/>
      <c r="F1503" s="6"/>
    </row>
    <row r="1504">
      <c r="B1504" s="2"/>
      <c r="F1504" s="6"/>
    </row>
    <row r="1505">
      <c r="B1505" s="2"/>
      <c r="F1505" s="6"/>
    </row>
    <row r="1506">
      <c r="B1506" s="2"/>
      <c r="F1506" s="6"/>
    </row>
    <row r="1507">
      <c r="B1507" s="2"/>
      <c r="F1507" s="6"/>
    </row>
    <row r="1508">
      <c r="B1508" s="2"/>
      <c r="F1508" s="6"/>
    </row>
    <row r="1509">
      <c r="B1509" s="2"/>
      <c r="F1509" s="6"/>
    </row>
    <row r="1510">
      <c r="B1510" s="2"/>
      <c r="F1510" s="6"/>
    </row>
    <row r="1511">
      <c r="B1511" s="2"/>
      <c r="F1511" s="6"/>
    </row>
    <row r="1512">
      <c r="B1512" s="2"/>
      <c r="F1512" s="6"/>
    </row>
    <row r="1513">
      <c r="B1513" s="2"/>
      <c r="F1513" s="6"/>
    </row>
    <row r="1514">
      <c r="B1514" s="2"/>
      <c r="F1514" s="6"/>
    </row>
    <row r="1515">
      <c r="B1515" s="2"/>
      <c r="F1515" s="6"/>
    </row>
    <row r="1516">
      <c r="B1516" s="2"/>
      <c r="F1516" s="6"/>
    </row>
    <row r="1517">
      <c r="B1517" s="2"/>
      <c r="F1517" s="6"/>
    </row>
    <row r="1518">
      <c r="B1518" s="2"/>
      <c r="F1518" s="6"/>
    </row>
    <row r="1519">
      <c r="B1519" s="2"/>
      <c r="F1519" s="6"/>
    </row>
    <row r="1520">
      <c r="B1520" s="2"/>
      <c r="F1520" s="6"/>
    </row>
    <row r="1521">
      <c r="B1521" s="2"/>
      <c r="F1521" s="6"/>
    </row>
    <row r="1522">
      <c r="B1522" s="2"/>
      <c r="F1522" s="6"/>
    </row>
    <row r="1523">
      <c r="B1523" s="2"/>
      <c r="F1523" s="6"/>
    </row>
    <row r="1524">
      <c r="B1524" s="2"/>
      <c r="F1524" s="6"/>
    </row>
    <row r="1525">
      <c r="B1525" s="2"/>
      <c r="F1525" s="6"/>
    </row>
    <row r="1526">
      <c r="B1526" s="2"/>
      <c r="F1526" s="6"/>
    </row>
    <row r="1527">
      <c r="B1527" s="2"/>
      <c r="F1527" s="6"/>
    </row>
    <row r="1528">
      <c r="B1528" s="2"/>
      <c r="F1528" s="6"/>
    </row>
    <row r="1529">
      <c r="B1529" s="2"/>
      <c r="F1529" s="6"/>
    </row>
    <row r="1530">
      <c r="B1530" s="2"/>
      <c r="F1530" s="6"/>
    </row>
    <row r="1531">
      <c r="B1531" s="2"/>
      <c r="F1531" s="6"/>
    </row>
    <row r="1532">
      <c r="B1532" s="2"/>
      <c r="F1532" s="6"/>
    </row>
    <row r="1533">
      <c r="B1533" s="2"/>
      <c r="F1533" s="6"/>
    </row>
    <row r="1534">
      <c r="B1534" s="2"/>
      <c r="F1534" s="6"/>
    </row>
    <row r="1535">
      <c r="B1535" s="2"/>
      <c r="F1535" s="6"/>
    </row>
    <row r="1536">
      <c r="B1536" s="2"/>
      <c r="F1536" s="6"/>
    </row>
    <row r="1537">
      <c r="B1537" s="2"/>
      <c r="F1537" s="6"/>
    </row>
    <row r="1538">
      <c r="B1538" s="2"/>
      <c r="F1538" s="6"/>
    </row>
    <row r="1539">
      <c r="B1539" s="2"/>
      <c r="F1539" s="6"/>
    </row>
    <row r="1540">
      <c r="B1540" s="2"/>
      <c r="F1540" s="6"/>
    </row>
    <row r="1541">
      <c r="B1541" s="2"/>
      <c r="F1541" s="6"/>
    </row>
    <row r="1542">
      <c r="B1542" s="2"/>
      <c r="F1542" s="6"/>
    </row>
    <row r="1543">
      <c r="B1543" s="2"/>
      <c r="F1543" s="6"/>
    </row>
    <row r="1544">
      <c r="B1544" s="2"/>
      <c r="F1544" s="6"/>
    </row>
    <row r="1545">
      <c r="B1545" s="2"/>
      <c r="F1545" s="6"/>
    </row>
    <row r="1546">
      <c r="B1546" s="2"/>
      <c r="F1546" s="6"/>
    </row>
    <row r="1547">
      <c r="B1547" s="2"/>
      <c r="F1547" s="6"/>
    </row>
    <row r="1548">
      <c r="B1548" s="2"/>
      <c r="F1548" s="6"/>
    </row>
    <row r="1549">
      <c r="B1549" s="2"/>
      <c r="F1549" s="6"/>
    </row>
    <row r="1550">
      <c r="B1550" s="2"/>
      <c r="F1550" s="6"/>
    </row>
    <row r="1551">
      <c r="B1551" s="2"/>
      <c r="F1551" s="6"/>
    </row>
    <row r="1552">
      <c r="B1552" s="2"/>
      <c r="F1552" s="6"/>
    </row>
    <row r="1553">
      <c r="B1553" s="2"/>
      <c r="F1553" s="6"/>
    </row>
    <row r="1554">
      <c r="B1554" s="2"/>
      <c r="F1554" s="6"/>
    </row>
    <row r="1555">
      <c r="B1555" s="2"/>
      <c r="F1555" s="6"/>
    </row>
    <row r="1556">
      <c r="B1556" s="2"/>
      <c r="F1556" s="6"/>
    </row>
    <row r="1557">
      <c r="B1557" s="2"/>
      <c r="F1557" s="6"/>
    </row>
    <row r="1558">
      <c r="B1558" s="2"/>
      <c r="F1558" s="6"/>
    </row>
    <row r="1559">
      <c r="B1559" s="2"/>
      <c r="F1559" s="6"/>
    </row>
    <row r="1560">
      <c r="B1560" s="2"/>
      <c r="F1560" s="6"/>
    </row>
    <row r="1561">
      <c r="B1561" s="2"/>
      <c r="F1561" s="6"/>
    </row>
    <row r="1562">
      <c r="B1562" s="2"/>
      <c r="F1562" s="6"/>
    </row>
    <row r="1563">
      <c r="B1563" s="2"/>
      <c r="F1563" s="6"/>
    </row>
    <row r="1564">
      <c r="B1564" s="2"/>
      <c r="F1564" s="6"/>
    </row>
    <row r="1565">
      <c r="B1565" s="2"/>
      <c r="F1565" s="6"/>
    </row>
    <row r="1566">
      <c r="B1566" s="2"/>
      <c r="F1566" s="6"/>
    </row>
    <row r="1567">
      <c r="B1567" s="2"/>
      <c r="F1567" s="6"/>
    </row>
    <row r="1568">
      <c r="B1568" s="2"/>
      <c r="F1568" s="6"/>
    </row>
    <row r="1569">
      <c r="B1569" s="2"/>
      <c r="F1569" s="6"/>
    </row>
    <row r="1570">
      <c r="B1570" s="2"/>
      <c r="F1570" s="6"/>
    </row>
    <row r="1571">
      <c r="B1571" s="2"/>
      <c r="F1571" s="6"/>
    </row>
    <row r="1572">
      <c r="B1572" s="2"/>
      <c r="F1572" s="6"/>
    </row>
    <row r="1573">
      <c r="B1573" s="2"/>
      <c r="F1573" s="6"/>
    </row>
    <row r="1574">
      <c r="B1574" s="2"/>
      <c r="F1574" s="6"/>
    </row>
    <row r="1575">
      <c r="B1575" s="2"/>
      <c r="F1575" s="6"/>
    </row>
    <row r="1576">
      <c r="B1576" s="2"/>
      <c r="F1576" s="6"/>
    </row>
    <row r="1577">
      <c r="B1577" s="2"/>
      <c r="F1577" s="6"/>
    </row>
    <row r="1578">
      <c r="B1578" s="2"/>
      <c r="F1578" s="6"/>
    </row>
    <row r="1579">
      <c r="B1579" s="2"/>
      <c r="F1579" s="6"/>
    </row>
    <row r="1580">
      <c r="B1580" s="2"/>
      <c r="F1580" s="6"/>
    </row>
    <row r="1581">
      <c r="B1581" s="2"/>
      <c r="F1581" s="6"/>
    </row>
    <row r="1582">
      <c r="B1582" s="2"/>
      <c r="F1582" s="6"/>
    </row>
    <row r="1583">
      <c r="B1583" s="2"/>
      <c r="F1583" s="6"/>
    </row>
    <row r="1584">
      <c r="B1584" s="2"/>
      <c r="F1584" s="6"/>
    </row>
    <row r="1585">
      <c r="B1585" s="2"/>
      <c r="F1585" s="6"/>
    </row>
    <row r="1586">
      <c r="B1586" s="2"/>
      <c r="F1586" s="6"/>
    </row>
    <row r="1587">
      <c r="B1587" s="2"/>
      <c r="F1587" s="6"/>
    </row>
    <row r="1588">
      <c r="B1588" s="2"/>
      <c r="F1588" s="6"/>
    </row>
    <row r="1589">
      <c r="B1589" s="2"/>
      <c r="F1589" s="6"/>
    </row>
    <row r="1590">
      <c r="B1590" s="2"/>
      <c r="F1590" s="6"/>
    </row>
    <row r="1591">
      <c r="B1591" s="2"/>
      <c r="F1591" s="6"/>
    </row>
    <row r="1592">
      <c r="B1592" s="2"/>
      <c r="F1592" s="6"/>
    </row>
    <row r="1593">
      <c r="B1593" s="2"/>
      <c r="F1593" s="6"/>
    </row>
    <row r="1594">
      <c r="B1594" s="2"/>
      <c r="F1594" s="6"/>
    </row>
    <row r="1595">
      <c r="B1595" s="2"/>
      <c r="F1595" s="6"/>
    </row>
    <row r="1596">
      <c r="B1596" s="2"/>
      <c r="F1596" s="6"/>
    </row>
    <row r="1597">
      <c r="B1597" s="2"/>
      <c r="F1597" s="6"/>
    </row>
    <row r="1598">
      <c r="B1598" s="2"/>
      <c r="F1598" s="6"/>
    </row>
    <row r="1599">
      <c r="B1599" s="2"/>
      <c r="F1599" s="6"/>
    </row>
    <row r="1600">
      <c r="B1600" s="2"/>
      <c r="F1600" s="6"/>
    </row>
    <row r="1601">
      <c r="B1601" s="2"/>
      <c r="F1601" s="6"/>
    </row>
    <row r="1602">
      <c r="B1602" s="2"/>
      <c r="F1602" s="6"/>
    </row>
    <row r="1603">
      <c r="B1603" s="2"/>
      <c r="F1603" s="6"/>
    </row>
    <row r="1604">
      <c r="B1604" s="2"/>
      <c r="F1604" s="6"/>
    </row>
    <row r="1605">
      <c r="B1605" s="2"/>
      <c r="F1605" s="6"/>
    </row>
    <row r="1606">
      <c r="B1606" s="2"/>
      <c r="F1606" s="6"/>
    </row>
    <row r="1607">
      <c r="B1607" s="2"/>
      <c r="F1607" s="6"/>
    </row>
    <row r="1608">
      <c r="B1608" s="2"/>
      <c r="F1608" s="6"/>
    </row>
    <row r="1609">
      <c r="B1609" s="2"/>
      <c r="F1609" s="6"/>
    </row>
    <row r="1610">
      <c r="B1610" s="2"/>
      <c r="F1610" s="6"/>
    </row>
    <row r="1611">
      <c r="B1611" s="2"/>
      <c r="F1611" s="6"/>
    </row>
    <row r="1612">
      <c r="B1612" s="2"/>
      <c r="F1612" s="6"/>
    </row>
    <row r="1613">
      <c r="B1613" s="2"/>
      <c r="F1613" s="6"/>
    </row>
    <row r="1614">
      <c r="B1614" s="2"/>
      <c r="F1614" s="6"/>
    </row>
    <row r="1615">
      <c r="B1615" s="2"/>
      <c r="F1615" s="6"/>
    </row>
    <row r="1616">
      <c r="B1616" s="2"/>
      <c r="F1616" s="6"/>
    </row>
    <row r="1617">
      <c r="B1617" s="2"/>
      <c r="F1617" s="6"/>
    </row>
    <row r="1618">
      <c r="B1618" s="2"/>
      <c r="F1618" s="6"/>
    </row>
    <row r="1619">
      <c r="B1619" s="2"/>
      <c r="F1619" s="6"/>
    </row>
    <row r="1620">
      <c r="B1620" s="2"/>
      <c r="F1620" s="6"/>
    </row>
    <row r="1621">
      <c r="B1621" s="2"/>
      <c r="F1621" s="6"/>
    </row>
    <row r="1622">
      <c r="B1622" s="2"/>
      <c r="F1622" s="6"/>
    </row>
    <row r="1623">
      <c r="B1623" s="2"/>
      <c r="F1623" s="6"/>
    </row>
    <row r="1624">
      <c r="B1624" s="2"/>
      <c r="F1624" s="6"/>
    </row>
    <row r="1625">
      <c r="B1625" s="2"/>
      <c r="F1625" s="6"/>
    </row>
    <row r="1626">
      <c r="B1626" s="2"/>
      <c r="F1626" s="6"/>
    </row>
    <row r="1627">
      <c r="B1627" s="2"/>
      <c r="F1627" s="6"/>
    </row>
    <row r="1628">
      <c r="B1628" s="2"/>
      <c r="F1628" s="6"/>
    </row>
    <row r="1629">
      <c r="B1629" s="2"/>
      <c r="F1629" s="6"/>
    </row>
    <row r="1630">
      <c r="B1630" s="2"/>
      <c r="F1630" s="6"/>
    </row>
    <row r="1631">
      <c r="B1631" s="2"/>
      <c r="F1631" s="6"/>
    </row>
    <row r="1632">
      <c r="B1632" s="2"/>
      <c r="F1632" s="6"/>
    </row>
    <row r="1633">
      <c r="B1633" s="2"/>
      <c r="F1633" s="6"/>
    </row>
    <row r="1634">
      <c r="B1634" s="2"/>
      <c r="F1634" s="6"/>
    </row>
    <row r="1635">
      <c r="B1635" s="2"/>
      <c r="F1635" s="6"/>
    </row>
    <row r="1636">
      <c r="B1636" s="2"/>
      <c r="F1636" s="6"/>
    </row>
    <row r="1637">
      <c r="B1637" s="2"/>
      <c r="F1637" s="6"/>
    </row>
    <row r="1638">
      <c r="B1638" s="2"/>
      <c r="F1638" s="6"/>
    </row>
    <row r="1639">
      <c r="B1639" s="2"/>
      <c r="F1639" s="6"/>
    </row>
    <row r="1640">
      <c r="B1640" s="2"/>
      <c r="F1640" s="6"/>
    </row>
    <row r="1641">
      <c r="B1641" s="2"/>
      <c r="F1641" s="6"/>
    </row>
    <row r="1642">
      <c r="B1642" s="2"/>
      <c r="F1642" s="6"/>
    </row>
    <row r="1643">
      <c r="B1643" s="2"/>
      <c r="F1643" s="6"/>
    </row>
    <row r="1644">
      <c r="B1644" s="2"/>
      <c r="F1644" s="6"/>
    </row>
    <row r="1645">
      <c r="B1645" s="2"/>
      <c r="F1645" s="6"/>
    </row>
    <row r="1646">
      <c r="B1646" s="2"/>
      <c r="F1646" s="6"/>
    </row>
    <row r="1647">
      <c r="B1647" s="2"/>
      <c r="F1647" s="6"/>
    </row>
    <row r="1648">
      <c r="B1648" s="2"/>
      <c r="F1648" s="6"/>
    </row>
    <row r="1649">
      <c r="B1649" s="2"/>
      <c r="F1649" s="6"/>
    </row>
    <row r="1650">
      <c r="B1650" s="2"/>
      <c r="F1650" s="6"/>
    </row>
    <row r="1651">
      <c r="B1651" s="2"/>
      <c r="F1651" s="6"/>
    </row>
    <row r="1652">
      <c r="B1652" s="2"/>
      <c r="F1652" s="6"/>
    </row>
    <row r="1653">
      <c r="B1653" s="2"/>
      <c r="F1653" s="6"/>
    </row>
    <row r="1654">
      <c r="B1654" s="2"/>
      <c r="F1654" s="6"/>
    </row>
    <row r="1655">
      <c r="B1655" s="2"/>
      <c r="F1655" s="6"/>
    </row>
    <row r="1656">
      <c r="B1656" s="2"/>
      <c r="F1656" s="6"/>
    </row>
    <row r="1657">
      <c r="B1657" s="2"/>
      <c r="F1657" s="6"/>
    </row>
    <row r="1658">
      <c r="B1658" s="2"/>
      <c r="F1658" s="6"/>
    </row>
    <row r="1659">
      <c r="B1659" s="2"/>
      <c r="F1659" s="6"/>
    </row>
    <row r="1660">
      <c r="B1660" s="2"/>
      <c r="F1660" s="6"/>
    </row>
    <row r="1661">
      <c r="B1661" s="2"/>
      <c r="F1661" s="6"/>
    </row>
    <row r="1662">
      <c r="B1662" s="2"/>
      <c r="F1662" s="6"/>
    </row>
    <row r="1663">
      <c r="B1663" s="2"/>
      <c r="F1663" s="6"/>
    </row>
    <row r="1664">
      <c r="B1664" s="2"/>
      <c r="F1664" s="6"/>
    </row>
    <row r="1665">
      <c r="B1665" s="2"/>
      <c r="F1665" s="6"/>
    </row>
    <row r="1666">
      <c r="B1666" s="2"/>
      <c r="F1666" s="6"/>
    </row>
    <row r="1667">
      <c r="B1667" s="2"/>
      <c r="F1667" s="6"/>
    </row>
    <row r="1668">
      <c r="B1668" s="2"/>
      <c r="F1668" s="6"/>
    </row>
    <row r="1669">
      <c r="B1669" s="2"/>
      <c r="F1669" s="6"/>
    </row>
    <row r="1670">
      <c r="B1670" s="2"/>
      <c r="F1670" s="6"/>
    </row>
    <row r="1671">
      <c r="B1671" s="2"/>
      <c r="F1671" s="6"/>
    </row>
    <row r="1672">
      <c r="B1672" s="2"/>
      <c r="F1672" s="6"/>
    </row>
    <row r="1673">
      <c r="B1673" s="2"/>
      <c r="F1673" s="6"/>
    </row>
    <row r="1674">
      <c r="B1674" s="2"/>
      <c r="F1674" s="6"/>
    </row>
    <row r="1675">
      <c r="B1675" s="2"/>
      <c r="F1675" s="6"/>
    </row>
    <row r="1676">
      <c r="B1676" s="2"/>
      <c r="F1676" s="6"/>
    </row>
    <row r="1677">
      <c r="B1677" s="2"/>
      <c r="F1677" s="6"/>
    </row>
    <row r="1678">
      <c r="B1678" s="2"/>
      <c r="F1678" s="6"/>
    </row>
    <row r="1679">
      <c r="B1679" s="2"/>
      <c r="F1679" s="6"/>
    </row>
    <row r="1680">
      <c r="B1680" s="2"/>
      <c r="F1680" s="6"/>
    </row>
    <row r="1681">
      <c r="B1681" s="2"/>
      <c r="F1681" s="6"/>
    </row>
    <row r="1682">
      <c r="B1682" s="2"/>
      <c r="F1682" s="6"/>
    </row>
    <row r="1683">
      <c r="B1683" s="2"/>
      <c r="F1683" s="6"/>
    </row>
    <row r="1684">
      <c r="B1684" s="2"/>
      <c r="F1684" s="6"/>
    </row>
    <row r="1685">
      <c r="B1685" s="2"/>
      <c r="F1685" s="6"/>
    </row>
    <row r="1686">
      <c r="B1686" s="2"/>
      <c r="F1686" s="6"/>
    </row>
    <row r="1687">
      <c r="B1687" s="2"/>
      <c r="F1687" s="6"/>
    </row>
    <row r="1688">
      <c r="B1688" s="2"/>
      <c r="F1688" s="6"/>
    </row>
    <row r="1689">
      <c r="B1689" s="2"/>
      <c r="F1689" s="6"/>
    </row>
    <row r="1690">
      <c r="B1690" s="2"/>
      <c r="F1690" s="6"/>
    </row>
    <row r="1691">
      <c r="B1691" s="2"/>
      <c r="F1691" s="6"/>
    </row>
    <row r="1692">
      <c r="B1692" s="2"/>
      <c r="F1692" s="6"/>
    </row>
    <row r="1693">
      <c r="B1693" s="2"/>
      <c r="F1693" s="6"/>
    </row>
    <row r="1694">
      <c r="B1694" s="2"/>
      <c r="F1694" s="6"/>
    </row>
    <row r="1695">
      <c r="B1695" s="2"/>
      <c r="F1695" s="6"/>
    </row>
    <row r="1696">
      <c r="B1696" s="2"/>
      <c r="F1696" s="6"/>
    </row>
    <row r="1697">
      <c r="B1697" s="2"/>
      <c r="F1697" s="6"/>
    </row>
    <row r="1698">
      <c r="B1698" s="2"/>
      <c r="F1698" s="6"/>
    </row>
    <row r="1699">
      <c r="B1699" s="2"/>
      <c r="F1699" s="6"/>
    </row>
    <row r="1700">
      <c r="B1700" s="2"/>
      <c r="F1700" s="6"/>
    </row>
    <row r="1701">
      <c r="B1701" s="2"/>
      <c r="F1701" s="6"/>
    </row>
    <row r="1702">
      <c r="B1702" s="2"/>
      <c r="F1702" s="6"/>
    </row>
    <row r="1703">
      <c r="B1703" s="2"/>
      <c r="F1703" s="6"/>
    </row>
    <row r="1704">
      <c r="B1704" s="2"/>
      <c r="F1704" s="6"/>
    </row>
    <row r="1705">
      <c r="B1705" s="2"/>
      <c r="F1705" s="6"/>
    </row>
    <row r="1706">
      <c r="B1706" s="2"/>
      <c r="F1706" s="6"/>
    </row>
    <row r="1707">
      <c r="B1707" s="2"/>
      <c r="F1707" s="6"/>
    </row>
    <row r="1708">
      <c r="B1708" s="2"/>
      <c r="F1708" s="6"/>
    </row>
    <row r="1709">
      <c r="B1709" s="2"/>
      <c r="F1709" s="6"/>
    </row>
    <row r="1710">
      <c r="B1710" s="2"/>
      <c r="F1710" s="6"/>
    </row>
    <row r="1711">
      <c r="B1711" s="2"/>
      <c r="F1711" s="6"/>
    </row>
    <row r="1712">
      <c r="B1712" s="2"/>
      <c r="F1712" s="6"/>
    </row>
    <row r="1713">
      <c r="B1713" s="2"/>
      <c r="F1713" s="6"/>
    </row>
    <row r="1714">
      <c r="B1714" s="2"/>
      <c r="F1714" s="6"/>
    </row>
    <row r="1715">
      <c r="B1715" s="2"/>
      <c r="F1715" s="6"/>
    </row>
    <row r="1716">
      <c r="B1716" s="2"/>
      <c r="F1716" s="6"/>
    </row>
    <row r="1717">
      <c r="B1717" s="2"/>
      <c r="F1717" s="6"/>
    </row>
    <row r="1718">
      <c r="B1718" s="2"/>
      <c r="F1718" s="6"/>
    </row>
    <row r="1719">
      <c r="B1719" s="2"/>
      <c r="F1719" s="6"/>
    </row>
    <row r="1720">
      <c r="B1720" s="2"/>
      <c r="F1720" s="6"/>
    </row>
    <row r="1721">
      <c r="B1721" s="2"/>
      <c r="F1721" s="6"/>
    </row>
    <row r="1722">
      <c r="B1722" s="2"/>
      <c r="F1722" s="6"/>
    </row>
    <row r="1723">
      <c r="B1723" s="2"/>
      <c r="F1723" s="6"/>
    </row>
    <row r="1724">
      <c r="B1724" s="2"/>
      <c r="F1724" s="6"/>
    </row>
    <row r="1725">
      <c r="B1725" s="2"/>
      <c r="F1725" s="6"/>
    </row>
    <row r="1726">
      <c r="B1726" s="2"/>
      <c r="F1726" s="6"/>
    </row>
    <row r="1727">
      <c r="B1727" s="2"/>
      <c r="F1727" s="6"/>
    </row>
    <row r="1728">
      <c r="B1728" s="2"/>
      <c r="F1728" s="6"/>
    </row>
    <row r="1729">
      <c r="B1729" s="2"/>
      <c r="F1729" s="6"/>
    </row>
    <row r="1730">
      <c r="B1730" s="2"/>
      <c r="F1730" s="6"/>
    </row>
    <row r="1731">
      <c r="B1731" s="2"/>
      <c r="F1731" s="6"/>
    </row>
    <row r="1732">
      <c r="B1732" s="2"/>
      <c r="F1732" s="6"/>
    </row>
    <row r="1733">
      <c r="B1733" s="2"/>
      <c r="F1733" s="6"/>
    </row>
    <row r="1734">
      <c r="B1734" s="2"/>
      <c r="F1734" s="6"/>
    </row>
    <row r="1735">
      <c r="B1735" s="2"/>
      <c r="F1735" s="6"/>
    </row>
    <row r="1736">
      <c r="B1736" s="2"/>
      <c r="F1736" s="6"/>
    </row>
    <row r="1737">
      <c r="B1737" s="2"/>
      <c r="F1737" s="6"/>
    </row>
    <row r="1738">
      <c r="B1738" s="2"/>
      <c r="F1738" s="6"/>
    </row>
    <row r="1739">
      <c r="B1739" s="2"/>
      <c r="F1739" s="6"/>
    </row>
    <row r="1740">
      <c r="B1740" s="2"/>
      <c r="F1740" s="6"/>
    </row>
    <row r="1741">
      <c r="B1741" s="2"/>
      <c r="F1741" s="6"/>
    </row>
    <row r="1742">
      <c r="B1742" s="2"/>
      <c r="F1742" s="6"/>
    </row>
    <row r="1743">
      <c r="B1743" s="2"/>
      <c r="F1743" s="6"/>
    </row>
    <row r="1744">
      <c r="B1744" s="2"/>
      <c r="F1744" s="6"/>
    </row>
    <row r="1745">
      <c r="B1745" s="2"/>
      <c r="F1745" s="6"/>
    </row>
    <row r="1746">
      <c r="B1746" s="2"/>
      <c r="F1746" s="6"/>
    </row>
    <row r="1747">
      <c r="B1747" s="2"/>
      <c r="F1747" s="6"/>
    </row>
    <row r="1748">
      <c r="B1748" s="2"/>
      <c r="F1748" s="6"/>
    </row>
    <row r="1749">
      <c r="B1749" s="2"/>
      <c r="F1749" s="6"/>
    </row>
    <row r="1750">
      <c r="B1750" s="2"/>
      <c r="F1750" s="6"/>
    </row>
    <row r="1751">
      <c r="B1751" s="2"/>
      <c r="F1751" s="6"/>
    </row>
    <row r="1752">
      <c r="B1752" s="2"/>
      <c r="F1752" s="6"/>
    </row>
    <row r="1753">
      <c r="B1753" s="2"/>
      <c r="F1753" s="6"/>
    </row>
    <row r="1754">
      <c r="B1754" s="2"/>
      <c r="F1754" s="6"/>
    </row>
    <row r="1755">
      <c r="B1755" s="2"/>
      <c r="F1755" s="6"/>
    </row>
    <row r="1756">
      <c r="B1756" s="2"/>
      <c r="F1756" s="6"/>
    </row>
    <row r="1757">
      <c r="B1757" s="2"/>
      <c r="F1757" s="6"/>
    </row>
    <row r="1758">
      <c r="B1758" s="2"/>
      <c r="F1758" s="6"/>
    </row>
    <row r="1759">
      <c r="B1759" s="2"/>
      <c r="F1759" s="6"/>
    </row>
    <row r="1760">
      <c r="B1760" s="2"/>
      <c r="F1760" s="6"/>
    </row>
    <row r="1761">
      <c r="B1761" s="2"/>
      <c r="F1761" s="6"/>
    </row>
    <row r="1762">
      <c r="B1762" s="2"/>
      <c r="F1762" s="6"/>
    </row>
    <row r="1763">
      <c r="B1763" s="2"/>
      <c r="F1763" s="6"/>
    </row>
    <row r="1764">
      <c r="B1764" s="2"/>
      <c r="F1764" s="6"/>
    </row>
    <row r="1765">
      <c r="B1765" s="2"/>
      <c r="F1765" s="6"/>
    </row>
    <row r="1766">
      <c r="B1766" s="2"/>
      <c r="F1766" s="6"/>
    </row>
    <row r="1767">
      <c r="B1767" s="2"/>
      <c r="F1767" s="6"/>
    </row>
    <row r="1768">
      <c r="B1768" s="2"/>
      <c r="F1768" s="6"/>
    </row>
    <row r="1769">
      <c r="B1769" s="2"/>
      <c r="F1769" s="6"/>
    </row>
    <row r="1770">
      <c r="B1770" s="2"/>
      <c r="F1770" s="6"/>
    </row>
    <row r="1771">
      <c r="B1771" s="2"/>
      <c r="F1771" s="6"/>
    </row>
    <row r="1772">
      <c r="B1772" s="2"/>
      <c r="F1772" s="6"/>
    </row>
    <row r="1773">
      <c r="B1773" s="2"/>
      <c r="F1773" s="6"/>
    </row>
    <row r="1774">
      <c r="B1774" s="2"/>
      <c r="F1774" s="6"/>
    </row>
    <row r="1775">
      <c r="B1775" s="2"/>
      <c r="F1775" s="6"/>
    </row>
    <row r="1776">
      <c r="B1776" s="2"/>
      <c r="F1776" s="6"/>
    </row>
    <row r="1777">
      <c r="B1777" s="2"/>
      <c r="F1777" s="6"/>
    </row>
    <row r="1778">
      <c r="B1778" s="2"/>
      <c r="F1778" s="6"/>
    </row>
    <row r="1779">
      <c r="B1779" s="2"/>
      <c r="F1779" s="6"/>
    </row>
    <row r="1780">
      <c r="B1780" s="2"/>
      <c r="F1780" s="6"/>
    </row>
    <row r="1781">
      <c r="B1781" s="2"/>
      <c r="F1781" s="6"/>
    </row>
    <row r="1782">
      <c r="B1782" s="2"/>
      <c r="F1782" s="6"/>
    </row>
    <row r="1783">
      <c r="B1783" s="2"/>
      <c r="F1783" s="6"/>
    </row>
    <row r="1784">
      <c r="B1784" s="2"/>
      <c r="F1784" s="6"/>
    </row>
    <row r="1785">
      <c r="B1785" s="2"/>
      <c r="F1785" s="6"/>
    </row>
    <row r="1786">
      <c r="B1786" s="2"/>
      <c r="F1786" s="6"/>
    </row>
    <row r="1787">
      <c r="B1787" s="2"/>
      <c r="F1787" s="6"/>
    </row>
    <row r="1788">
      <c r="B1788" s="2"/>
      <c r="F1788" s="6"/>
    </row>
    <row r="1789">
      <c r="B1789" s="2"/>
      <c r="F1789" s="6"/>
    </row>
    <row r="1790">
      <c r="B1790" s="2"/>
      <c r="F1790" s="6"/>
    </row>
    <row r="1791">
      <c r="B1791" s="2"/>
      <c r="F1791" s="6"/>
    </row>
    <row r="1792">
      <c r="B1792" s="2"/>
      <c r="F1792" s="6"/>
    </row>
    <row r="1793">
      <c r="B1793" s="2"/>
      <c r="F1793" s="6"/>
    </row>
    <row r="1794">
      <c r="B1794" s="2"/>
      <c r="F1794" s="6"/>
    </row>
    <row r="1795">
      <c r="B1795" s="2"/>
      <c r="F1795" s="6"/>
    </row>
    <row r="1796">
      <c r="B1796" s="2"/>
      <c r="F1796" s="6"/>
    </row>
    <row r="1797">
      <c r="B1797" s="2"/>
      <c r="F1797" s="6"/>
    </row>
    <row r="1798">
      <c r="B1798" s="2"/>
      <c r="F1798" s="6"/>
    </row>
    <row r="1799">
      <c r="B1799" s="2"/>
      <c r="F1799" s="6"/>
    </row>
    <row r="1800">
      <c r="B1800" s="2"/>
      <c r="F1800" s="6"/>
    </row>
    <row r="1801">
      <c r="B1801" s="2"/>
      <c r="F1801" s="6"/>
    </row>
    <row r="1802">
      <c r="B1802" s="2"/>
      <c r="F1802" s="6"/>
    </row>
    <row r="1803">
      <c r="B1803" s="2"/>
      <c r="F1803" s="6"/>
    </row>
    <row r="1804">
      <c r="B1804" s="2"/>
      <c r="F1804" s="6"/>
    </row>
    <row r="1805">
      <c r="B1805" s="2"/>
      <c r="F1805" s="6"/>
    </row>
    <row r="1806">
      <c r="B1806" s="2"/>
      <c r="F1806" s="6"/>
    </row>
    <row r="1807">
      <c r="B1807" s="2"/>
      <c r="F1807" s="6"/>
    </row>
    <row r="1808">
      <c r="B1808" s="2"/>
      <c r="F1808" s="6"/>
    </row>
    <row r="1809">
      <c r="B1809" s="2"/>
      <c r="F1809" s="6"/>
    </row>
    <row r="1810">
      <c r="B1810" s="2"/>
      <c r="F1810" s="6"/>
    </row>
    <row r="1811">
      <c r="B1811" s="2"/>
      <c r="F1811" s="6"/>
    </row>
    <row r="1812">
      <c r="B1812" s="2"/>
      <c r="F1812" s="6"/>
    </row>
    <row r="1813">
      <c r="B1813" s="2"/>
      <c r="F1813" s="6"/>
    </row>
    <row r="1814">
      <c r="B1814" s="2"/>
      <c r="F1814" s="6"/>
    </row>
    <row r="1815">
      <c r="B1815" s="2"/>
      <c r="F1815" s="6"/>
    </row>
    <row r="1816">
      <c r="B1816" s="2"/>
      <c r="F1816" s="6"/>
    </row>
    <row r="1817">
      <c r="B1817" s="2"/>
      <c r="F1817" s="6"/>
    </row>
    <row r="1818">
      <c r="B1818" s="2"/>
      <c r="F1818" s="6"/>
    </row>
    <row r="1819">
      <c r="B1819" s="2"/>
      <c r="F1819" s="6"/>
    </row>
    <row r="1820">
      <c r="B1820" s="2"/>
      <c r="F1820" s="6"/>
    </row>
    <row r="1821">
      <c r="B1821" s="2"/>
      <c r="F1821" s="6"/>
    </row>
    <row r="1822">
      <c r="B1822" s="2"/>
      <c r="F1822" s="6"/>
    </row>
    <row r="1823">
      <c r="B1823" s="2"/>
      <c r="F1823" s="6"/>
    </row>
    <row r="1824">
      <c r="B1824" s="2"/>
      <c r="F1824" s="6"/>
    </row>
    <row r="1825">
      <c r="B1825" s="2"/>
      <c r="F1825" s="6"/>
    </row>
    <row r="1826">
      <c r="B1826" s="2"/>
      <c r="F1826" s="6"/>
    </row>
    <row r="1827">
      <c r="B1827" s="2"/>
      <c r="F1827" s="6"/>
    </row>
    <row r="1828">
      <c r="B1828" s="2"/>
      <c r="F1828" s="6"/>
    </row>
    <row r="1829">
      <c r="B1829" s="2"/>
      <c r="F1829" s="6"/>
    </row>
    <row r="1830">
      <c r="B1830" s="2"/>
      <c r="F1830" s="6"/>
    </row>
    <row r="1831">
      <c r="B1831" s="2"/>
      <c r="F1831" s="6"/>
    </row>
    <row r="1832">
      <c r="B1832" s="2"/>
      <c r="F1832" s="6"/>
    </row>
    <row r="1833">
      <c r="B1833" s="2"/>
      <c r="F1833" s="6"/>
    </row>
    <row r="1834">
      <c r="B1834" s="2"/>
      <c r="F1834" s="6"/>
    </row>
    <row r="1835">
      <c r="B1835" s="2"/>
      <c r="F1835" s="6"/>
    </row>
    <row r="1836">
      <c r="B1836" s="2"/>
      <c r="F1836" s="6"/>
    </row>
    <row r="1837">
      <c r="B1837" s="2"/>
      <c r="F1837" s="6"/>
    </row>
    <row r="1838">
      <c r="B1838" s="2"/>
      <c r="F1838" s="6"/>
    </row>
    <row r="1839">
      <c r="B1839" s="2"/>
      <c r="F1839" s="6"/>
    </row>
    <row r="1840">
      <c r="B1840" s="2"/>
      <c r="F1840" s="6"/>
    </row>
    <row r="1841">
      <c r="B1841" s="2"/>
      <c r="F1841" s="6"/>
    </row>
    <row r="1842">
      <c r="B1842" s="2"/>
      <c r="F1842" s="6"/>
    </row>
    <row r="1843">
      <c r="B1843" s="2"/>
      <c r="F1843" s="6"/>
    </row>
    <row r="1844">
      <c r="B1844" s="2"/>
      <c r="F1844" s="6"/>
    </row>
    <row r="1845">
      <c r="B1845" s="2"/>
      <c r="F1845" s="6"/>
    </row>
    <row r="1846">
      <c r="B1846" s="2"/>
      <c r="F1846" s="6"/>
    </row>
    <row r="1847">
      <c r="B1847" s="2"/>
      <c r="F1847" s="6"/>
    </row>
    <row r="1848">
      <c r="B1848" s="2"/>
      <c r="F1848" s="6"/>
    </row>
    <row r="1849">
      <c r="B1849" s="2"/>
      <c r="F1849" s="6"/>
    </row>
    <row r="1850">
      <c r="B1850" s="2"/>
      <c r="F1850" s="6"/>
    </row>
    <row r="1851">
      <c r="B1851" s="2"/>
      <c r="F1851" s="6"/>
    </row>
    <row r="1852">
      <c r="B1852" s="2"/>
      <c r="F1852" s="6"/>
    </row>
    <row r="1853">
      <c r="B1853" s="2"/>
      <c r="F1853" s="6"/>
    </row>
    <row r="1854">
      <c r="B1854" s="2"/>
      <c r="F1854" s="6"/>
    </row>
    <row r="1855">
      <c r="B1855" s="2"/>
      <c r="F1855" s="6"/>
    </row>
    <row r="1856">
      <c r="B1856" s="2"/>
      <c r="F1856" s="6"/>
    </row>
    <row r="1857">
      <c r="B1857" s="2"/>
      <c r="F1857" s="6"/>
    </row>
    <row r="1858">
      <c r="B1858" s="2"/>
      <c r="F1858" s="6"/>
    </row>
    <row r="1859">
      <c r="B1859" s="2"/>
      <c r="F1859" s="6"/>
    </row>
    <row r="1860">
      <c r="B1860" s="2"/>
      <c r="F1860" s="6"/>
    </row>
    <row r="1861">
      <c r="B1861" s="2"/>
      <c r="F1861" s="6"/>
    </row>
    <row r="1862">
      <c r="B1862" s="2"/>
      <c r="F1862" s="6"/>
    </row>
    <row r="1863">
      <c r="B1863" s="2"/>
      <c r="F1863" s="6"/>
    </row>
    <row r="1864">
      <c r="B1864" s="2"/>
      <c r="F1864" s="6"/>
    </row>
    <row r="1865">
      <c r="B1865" s="2"/>
      <c r="F1865" s="6"/>
    </row>
    <row r="1866">
      <c r="B1866" s="2"/>
      <c r="F1866" s="6"/>
    </row>
    <row r="1867">
      <c r="B1867" s="2"/>
      <c r="F1867" s="6"/>
    </row>
    <row r="1868">
      <c r="B1868" s="2"/>
      <c r="F1868" s="6"/>
    </row>
    <row r="1869">
      <c r="B1869" s="2"/>
      <c r="F1869" s="6"/>
    </row>
    <row r="1870">
      <c r="B1870" s="2"/>
      <c r="F1870" s="6"/>
    </row>
    <row r="1871">
      <c r="B1871" s="2"/>
      <c r="F1871" s="6"/>
    </row>
    <row r="1872">
      <c r="B1872" s="2"/>
      <c r="F1872" s="6"/>
    </row>
    <row r="1873">
      <c r="B1873" s="2"/>
      <c r="F1873" s="6"/>
    </row>
    <row r="1874">
      <c r="B1874" s="2"/>
      <c r="F1874" s="6"/>
    </row>
    <row r="1875">
      <c r="B1875" s="2"/>
      <c r="F1875" s="6"/>
    </row>
    <row r="1876">
      <c r="B1876" s="2"/>
      <c r="F1876" s="6"/>
    </row>
    <row r="1877">
      <c r="B1877" s="2"/>
      <c r="F1877" s="6"/>
    </row>
    <row r="1878">
      <c r="B1878" s="2"/>
      <c r="F1878" s="6"/>
    </row>
    <row r="1879">
      <c r="B1879" s="2"/>
      <c r="F1879" s="6"/>
    </row>
    <row r="1880">
      <c r="B1880" s="2"/>
      <c r="F1880" s="6"/>
    </row>
    <row r="1881">
      <c r="B1881" s="2"/>
      <c r="F1881" s="6"/>
    </row>
    <row r="1882">
      <c r="B1882" s="2"/>
      <c r="F1882" s="6"/>
    </row>
    <row r="1883">
      <c r="B1883" s="2"/>
      <c r="F1883" s="6"/>
    </row>
    <row r="1884">
      <c r="B1884" s="2"/>
      <c r="F1884" s="6"/>
    </row>
    <row r="1885">
      <c r="B1885" s="2"/>
      <c r="F1885" s="6"/>
    </row>
    <row r="1886">
      <c r="B1886" s="2"/>
      <c r="F1886" s="6"/>
    </row>
    <row r="1887">
      <c r="B1887" s="2"/>
      <c r="F1887" s="6"/>
    </row>
    <row r="1888">
      <c r="B1888" s="2"/>
      <c r="F1888" s="6"/>
    </row>
    <row r="1889">
      <c r="B1889" s="2"/>
      <c r="F1889" s="6"/>
    </row>
    <row r="1890">
      <c r="B1890" s="2"/>
      <c r="F1890" s="6"/>
    </row>
    <row r="1891">
      <c r="B1891" s="2"/>
      <c r="F1891" s="6"/>
    </row>
    <row r="1892">
      <c r="B1892" s="2"/>
      <c r="F1892" s="6"/>
    </row>
    <row r="1893">
      <c r="B1893" s="2"/>
      <c r="F1893" s="6"/>
    </row>
    <row r="1894">
      <c r="B1894" s="2"/>
      <c r="F1894" s="6"/>
    </row>
    <row r="1895">
      <c r="B1895" s="2"/>
      <c r="F1895" s="6"/>
    </row>
    <row r="1896">
      <c r="B1896" s="2"/>
      <c r="F1896" s="6"/>
    </row>
    <row r="1897">
      <c r="B1897" s="2"/>
      <c r="F1897" s="6"/>
    </row>
    <row r="1898">
      <c r="B1898" s="2"/>
      <c r="F1898" s="6"/>
    </row>
    <row r="1899">
      <c r="B1899" s="2"/>
      <c r="F1899" s="6"/>
    </row>
    <row r="1900">
      <c r="B1900" s="2"/>
      <c r="F1900" s="6"/>
    </row>
    <row r="1901">
      <c r="B1901" s="2"/>
      <c r="F1901" s="6"/>
    </row>
    <row r="1902">
      <c r="B1902" s="2"/>
      <c r="F1902" s="6"/>
    </row>
    <row r="1903">
      <c r="B1903" s="2"/>
      <c r="F1903" s="6"/>
    </row>
    <row r="1904">
      <c r="B1904" s="2"/>
      <c r="F1904" s="6"/>
    </row>
    <row r="1905">
      <c r="B1905" s="2"/>
      <c r="F1905" s="6"/>
    </row>
    <row r="1906">
      <c r="B1906" s="2"/>
      <c r="F1906" s="6"/>
    </row>
    <row r="1907">
      <c r="B1907" s="2"/>
      <c r="F1907" s="6"/>
    </row>
    <row r="1908">
      <c r="B1908" s="2"/>
      <c r="F1908" s="6"/>
    </row>
    <row r="1909">
      <c r="B1909" s="2"/>
      <c r="F1909" s="6"/>
    </row>
    <row r="1910">
      <c r="B1910" s="2"/>
      <c r="F1910" s="6"/>
    </row>
    <row r="1911">
      <c r="B1911" s="2"/>
      <c r="F1911" s="6"/>
    </row>
    <row r="1912">
      <c r="B1912" s="2"/>
      <c r="F1912" s="6"/>
    </row>
    <row r="1913">
      <c r="B1913" s="2"/>
      <c r="F1913" s="6"/>
    </row>
    <row r="1914">
      <c r="B1914" s="2"/>
      <c r="F1914" s="6"/>
    </row>
    <row r="1915">
      <c r="B1915" s="2"/>
      <c r="F1915" s="6"/>
    </row>
    <row r="1916">
      <c r="B1916" s="2"/>
      <c r="F1916" s="6"/>
    </row>
    <row r="1917">
      <c r="B1917" s="2"/>
      <c r="F1917" s="6"/>
    </row>
    <row r="1918">
      <c r="B1918" s="2"/>
      <c r="F1918" s="6"/>
    </row>
    <row r="1919">
      <c r="B1919" s="2"/>
      <c r="F1919" s="6"/>
    </row>
    <row r="1920">
      <c r="B1920" s="2"/>
      <c r="F1920" s="6"/>
    </row>
    <row r="1921">
      <c r="B1921" s="2"/>
      <c r="F1921" s="6"/>
    </row>
    <row r="1922">
      <c r="B1922" s="2"/>
      <c r="F1922" s="6"/>
    </row>
    <row r="1923">
      <c r="B1923" s="2"/>
      <c r="F1923" s="6"/>
    </row>
    <row r="1924">
      <c r="B1924" s="2"/>
      <c r="F1924" s="6"/>
    </row>
    <row r="1925">
      <c r="B1925" s="2"/>
      <c r="F1925" s="6"/>
    </row>
    <row r="1926">
      <c r="B1926" s="2"/>
      <c r="F1926" s="6"/>
    </row>
    <row r="1927">
      <c r="B1927" s="2"/>
      <c r="F1927" s="6"/>
    </row>
    <row r="1928">
      <c r="B1928" s="2"/>
      <c r="F1928" s="6"/>
    </row>
    <row r="1929">
      <c r="B1929" s="2"/>
      <c r="F1929" s="6"/>
    </row>
    <row r="1930">
      <c r="B1930" s="2"/>
      <c r="F1930" s="6"/>
    </row>
    <row r="1931">
      <c r="B1931" s="2"/>
      <c r="F1931" s="6"/>
    </row>
    <row r="1932">
      <c r="B1932" s="2"/>
      <c r="F1932" s="6"/>
    </row>
    <row r="1933">
      <c r="B1933" s="2"/>
      <c r="F1933" s="6"/>
    </row>
    <row r="1934">
      <c r="B1934" s="2"/>
      <c r="F1934" s="6"/>
    </row>
    <row r="1935">
      <c r="B1935" s="2"/>
      <c r="F1935" s="6"/>
    </row>
    <row r="1936">
      <c r="B1936" s="2"/>
      <c r="F1936" s="6"/>
    </row>
    <row r="1937">
      <c r="B1937" s="2"/>
      <c r="F1937" s="6"/>
    </row>
    <row r="1938">
      <c r="B1938" s="2"/>
      <c r="F1938" s="6"/>
    </row>
    <row r="1939">
      <c r="B1939" s="2"/>
      <c r="F1939" s="6"/>
    </row>
    <row r="1940">
      <c r="B1940" s="2"/>
      <c r="F1940" s="6"/>
    </row>
    <row r="1941">
      <c r="B1941" s="2"/>
      <c r="F1941" s="6"/>
    </row>
    <row r="1942">
      <c r="B1942" s="2"/>
      <c r="F1942" s="6"/>
    </row>
    <row r="1943">
      <c r="B1943" s="2"/>
      <c r="F1943" s="6"/>
    </row>
    <row r="1944">
      <c r="B1944" s="2"/>
      <c r="F1944" s="6"/>
    </row>
    <row r="1945">
      <c r="B1945" s="2"/>
      <c r="F1945" s="6"/>
    </row>
    <row r="1946">
      <c r="B1946" s="2"/>
      <c r="F1946" s="6"/>
    </row>
    <row r="1947">
      <c r="B1947" s="2"/>
      <c r="F1947" s="6"/>
    </row>
    <row r="1948">
      <c r="B1948" s="2"/>
      <c r="F1948" s="6"/>
    </row>
    <row r="1949">
      <c r="B1949" s="2"/>
      <c r="F1949" s="6"/>
    </row>
    <row r="1950">
      <c r="B1950" s="2"/>
      <c r="F1950" s="6"/>
    </row>
    <row r="1951">
      <c r="B1951" s="2"/>
      <c r="F1951" s="6"/>
    </row>
    <row r="1952">
      <c r="B1952" s="2"/>
      <c r="F1952" s="6"/>
    </row>
    <row r="1953">
      <c r="B1953" s="2"/>
      <c r="F1953" s="6"/>
    </row>
    <row r="1954">
      <c r="B1954" s="2"/>
      <c r="F1954" s="6"/>
    </row>
    <row r="1955">
      <c r="B1955" s="2"/>
      <c r="F1955" s="6"/>
    </row>
    <row r="1956">
      <c r="B1956" s="2"/>
      <c r="F1956" s="6"/>
    </row>
    <row r="1957">
      <c r="B1957" s="2"/>
      <c r="F1957" s="6"/>
    </row>
    <row r="1958">
      <c r="B1958" s="2"/>
      <c r="F1958" s="6"/>
    </row>
    <row r="1959">
      <c r="B1959" s="2"/>
      <c r="F1959" s="6"/>
    </row>
    <row r="1960">
      <c r="B1960" s="2"/>
      <c r="F1960" s="6"/>
    </row>
    <row r="1961">
      <c r="B1961" s="2"/>
      <c r="F1961" s="6"/>
    </row>
    <row r="1962">
      <c r="B1962" s="2"/>
      <c r="F1962" s="6"/>
    </row>
    <row r="1963">
      <c r="B1963" s="2"/>
      <c r="F1963" s="6"/>
    </row>
    <row r="1964">
      <c r="B1964" s="2"/>
      <c r="F1964" s="6"/>
    </row>
    <row r="1965">
      <c r="B1965" s="2"/>
      <c r="F1965" s="6"/>
    </row>
    <row r="1966">
      <c r="B1966" s="2"/>
      <c r="F1966" s="6"/>
    </row>
    <row r="1967">
      <c r="B1967" s="2"/>
      <c r="F1967" s="6"/>
    </row>
    <row r="1968">
      <c r="B1968" s="2"/>
      <c r="F1968" s="6"/>
    </row>
    <row r="1969">
      <c r="B1969" s="2"/>
      <c r="F1969" s="6"/>
    </row>
    <row r="1970">
      <c r="B1970" s="2"/>
      <c r="F1970" s="6"/>
    </row>
    <row r="1971">
      <c r="B1971" s="2"/>
      <c r="F1971" s="6"/>
    </row>
    <row r="1972">
      <c r="B1972" s="2"/>
      <c r="F1972" s="6"/>
    </row>
    <row r="1973">
      <c r="B1973" s="2"/>
      <c r="F1973" s="6"/>
    </row>
    <row r="1974">
      <c r="B1974" s="2"/>
      <c r="F1974" s="6"/>
    </row>
    <row r="1975">
      <c r="B1975" s="2"/>
      <c r="F1975" s="6"/>
    </row>
    <row r="1976">
      <c r="B1976" s="2"/>
      <c r="F1976" s="6"/>
    </row>
    <row r="1977">
      <c r="B1977" s="2"/>
      <c r="F1977" s="6"/>
    </row>
    <row r="1978">
      <c r="B1978" s="2"/>
      <c r="F1978" s="6"/>
    </row>
    <row r="1979">
      <c r="B1979" s="2"/>
      <c r="F1979" s="6"/>
    </row>
    <row r="1980">
      <c r="B1980" s="2"/>
      <c r="F1980" s="6"/>
    </row>
    <row r="1981">
      <c r="B1981" s="2"/>
      <c r="F1981" s="6"/>
    </row>
    <row r="1982">
      <c r="B1982" s="2"/>
      <c r="F1982" s="6"/>
    </row>
    <row r="1983">
      <c r="B1983" s="2"/>
      <c r="F1983" s="6"/>
    </row>
    <row r="1984">
      <c r="F1984" s="6"/>
    </row>
    <row r="1985">
      <c r="F1985" s="6"/>
    </row>
    <row r="1986">
      <c r="F1986" s="6"/>
    </row>
    <row r="1987">
      <c r="F1987" s="6"/>
    </row>
    <row r="1988">
      <c r="F1988" s="6"/>
    </row>
    <row r="1989">
      <c r="F1989" s="6"/>
    </row>
    <row r="1990">
      <c r="F1990" s="6"/>
    </row>
    <row r="1991">
      <c r="F1991" s="6"/>
    </row>
    <row r="1992">
      <c r="F1992" s="6"/>
    </row>
    <row r="1993">
      <c r="F1993" s="6"/>
    </row>
    <row r="1994">
      <c r="F1994" s="6"/>
    </row>
    <row r="1995">
      <c r="F1995" s="6"/>
    </row>
    <row r="1996">
      <c r="F1996" s="6"/>
    </row>
    <row r="1997">
      <c r="F1997" s="6"/>
    </row>
    <row r="1998">
      <c r="F1998" s="6"/>
    </row>
    <row r="1999">
      <c r="F1999" s="6"/>
    </row>
    <row r="2000">
      <c r="F2000" s="6"/>
    </row>
    <row r="2001">
      <c r="F200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</cols>
  <sheetData>
    <row r="1"/>
    <row r="2"/>
    <row r="3"/>
    <row r="4"/>
    <row r="5"/>
    <row r="10">
      <c r="A10" s="2" t="s">
        <v>997</v>
      </c>
      <c r="B10" s="2" t="s">
        <v>1008</v>
      </c>
      <c r="C10" s="2" t="s">
        <v>1009</v>
      </c>
    </row>
    <row r="11">
      <c r="A11" s="2">
        <v>1.0</v>
      </c>
      <c r="B11" s="2">
        <v>1.484186058</v>
      </c>
      <c r="C11" s="6">
        <v>1.7306456106425068</v>
      </c>
    </row>
    <row r="12">
      <c r="A12" s="2">
        <v>2.0</v>
      </c>
      <c r="B12" s="6">
        <v>1.509776308238228</v>
      </c>
      <c r="C12" s="6">
        <v>1.7696086078214066</v>
      </c>
    </row>
    <row r="13">
      <c r="A13" s="2">
        <v>3.0</v>
      </c>
      <c r="B13" s="6">
        <v>1.4419511039988273</v>
      </c>
      <c r="C13" s="6">
        <v>1.4419511039988273</v>
      </c>
      <c r="F13" s="7" t="s">
        <v>1010</v>
      </c>
      <c r="G13" s="7" t="s">
        <v>1011</v>
      </c>
    </row>
    <row r="14">
      <c r="A14" s="2">
        <v>4.0</v>
      </c>
      <c r="B14" s="6">
        <v>1.5251245019607644</v>
      </c>
      <c r="C14" s="6">
        <v>1.6691388204082065</v>
      </c>
      <c r="F14" s="7">
        <v>5.0</v>
      </c>
      <c r="G14" s="8">
        <f t="shared" ref="G14:G15" si="1">G3</f>
        <v>1.505401159</v>
      </c>
    </row>
    <row r="15">
      <c r="A15" s="2">
        <v>5.0</v>
      </c>
      <c r="B15" s="6">
        <v>1.5629024342593156</v>
      </c>
      <c r="C15" s="2">
        <v>1.813941911</v>
      </c>
      <c r="F15" s="7">
        <v>10.0</v>
      </c>
      <c r="G15" s="8">
        <f t="shared" si="1"/>
        <v>1.742989651</v>
      </c>
    </row>
    <row r="20">
      <c r="A20" s="9"/>
      <c r="B20" s="10" t="s">
        <v>1001</v>
      </c>
      <c r="C20" s="10" t="s">
        <v>1005</v>
      </c>
      <c r="D20" s="10" t="s">
        <v>1002</v>
      </c>
      <c r="E20" s="10" t="s">
        <v>1003</v>
      </c>
      <c r="F20" s="10" t="s">
        <v>1006</v>
      </c>
    </row>
    <row r="21">
      <c r="A21" s="10" t="s">
        <v>1012</v>
      </c>
      <c r="B21" s="9">
        <f t="shared" ref="B21:F21" si="2">B4-B3/5</f>
        <v>1.433808399</v>
      </c>
      <c r="C21" s="9">
        <f t="shared" si="2"/>
        <v>1.467653346</v>
      </c>
      <c r="D21" s="9">
        <f t="shared" si="2"/>
        <v>1.44679717</v>
      </c>
      <c r="E21" s="9">
        <f t="shared" si="2"/>
        <v>1.36411392</v>
      </c>
      <c r="F21" s="9">
        <f t="shared" si="2"/>
        <v>1.501361424</v>
      </c>
    </row>
  </sheetData>
  <drawing r:id="rId2"/>
</worksheet>
</file>